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in\Documents\Uni\masterprojektWaermespeicher\"/>
    </mc:Choice>
  </mc:AlternateContent>
  <xr:revisionPtr revIDLastSave="0" documentId="13_ncr:1_{A04366C3-54E8-4CA5-A8D4-5DD4CEA9EE9E}" xr6:coauthVersionLast="47" xr6:coauthVersionMax="47" xr10:uidLastSave="{00000000-0000-0000-0000-000000000000}"/>
  <bookViews>
    <workbookView xWindow="25695" yWindow="0" windowWidth="26010" windowHeight="20985" xr2:uid="{0385F41C-685A-4EB5-A046-A53FFCF5A67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H1" i="1"/>
</calcChain>
</file>

<file path=xl/sharedStrings.xml><?xml version="1.0" encoding="utf-8"?>
<sst xmlns="http://schemas.openxmlformats.org/spreadsheetml/2006/main" count="7" uniqueCount="7">
  <si>
    <t>electricity</t>
  </si>
  <si>
    <t>PV</t>
  </si>
  <si>
    <t>temp</t>
  </si>
  <si>
    <t>heat_water</t>
  </si>
  <si>
    <t>heat_space</t>
  </si>
  <si>
    <t>time</t>
  </si>
  <si>
    <t>On/Off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</si>
</sst>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3A224-B1E9-4FE3-A85B-89752F5DF3E1}">
  <dimension ref="A1:H169"/>
  <sheetViews>
    <sheetView tabSelected="1" workbookViewId="0">
      <selection activeCell="G1" sqref="G1:G1048576"/>
    </sheetView>
  </sheetViews>
  <sheetFormatPr baseColWidth="10" defaultRowHeight="15" x14ac:dyDescent="0.25"/>
  <cols>
    <col min="1" max="1" width="24.28515625" customWidth="1"/>
    <col min="2" max="2" width="10.85546875"/>
  </cols>
  <sheetData>
    <row r="1" spans="1:8" x14ac:dyDescent="0.25">
      <c r="A1" t="s">
        <v>5</v>
      </c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>
        <f>MAX(F2:F169)</f>
        <v>5.2479842560472321</v>
      </c>
    </row>
    <row r="2" spans="1:8" x14ac:dyDescent="0.25">
      <c r="A2" s="2">
        <v>43920</v>
      </c>
      <c r="B2">
        <v>0.34290443880254362</v>
      </c>
      <c r="C2">
        <v>0</v>
      </c>
      <c r="D2">
        <v>-2.62</v>
      </c>
      <c r="E2">
        <v>2.8804781593744562E-2</v>
      </c>
      <c r="F2">
        <v>2.2719931840204479</v>
      </c>
      <c r="G2">
        <f>0.5+F2/($H$1*2)</f>
        <v>0.71646341463414631</v>
      </c>
    </row>
    <row r="3" spans="1:8" x14ac:dyDescent="0.25">
      <c r="A3" s="2">
        <v>43920.041666666657</v>
      </c>
      <c r="B3">
        <v>0.1020757940735337</v>
      </c>
      <c r="C3">
        <v>0</v>
      </c>
      <c r="D3">
        <v>-3.3130000000000002</v>
      </c>
      <c r="E3">
        <v>3.6005976992180701E-2</v>
      </c>
      <c r="F3">
        <v>2.3359929920210236</v>
      </c>
      <c r="G3">
        <f>0.5+F3/($H$1*2)</f>
        <v>0.72256097560975607</v>
      </c>
    </row>
    <row r="4" spans="1:8" x14ac:dyDescent="0.25">
      <c r="A4" s="2">
        <v>43920.083333333343</v>
      </c>
      <c r="B4">
        <v>0.1853672659605354</v>
      </c>
      <c r="C4">
        <v>0</v>
      </c>
      <c r="D4">
        <v>-3.8690000000000002</v>
      </c>
      <c r="E4">
        <v>2.8804781593744562E-2</v>
      </c>
      <c r="F4">
        <v>2.4159927520217441</v>
      </c>
      <c r="G4">
        <f>0.5+F4/($H$1*2)</f>
        <v>0.73018292682926833</v>
      </c>
    </row>
    <row r="5" spans="1:8" x14ac:dyDescent="0.25">
      <c r="A5" s="2">
        <v>43920.125</v>
      </c>
      <c r="B5">
        <v>0.19850418421099711</v>
      </c>
      <c r="C5">
        <v>0</v>
      </c>
      <c r="D5">
        <v>-4.3010000000000002</v>
      </c>
      <c r="E5">
        <v>5.2808766255198362E-2</v>
      </c>
      <c r="F5">
        <v>2.5759922720231838</v>
      </c>
      <c r="G5">
        <f>0.5+F5/($H$1*2)</f>
        <v>0.74542682926829262</v>
      </c>
    </row>
    <row r="6" spans="1:8" x14ac:dyDescent="0.25">
      <c r="A6" s="2">
        <v>43920.166666666657</v>
      </c>
      <c r="B6">
        <v>0.29729341283395289</v>
      </c>
      <c r="C6">
        <v>0</v>
      </c>
      <c r="D6">
        <v>-4.7469999999999999</v>
      </c>
      <c r="E6">
        <v>0.12722111870570516</v>
      </c>
      <c r="F6">
        <v>2.9759910720267837</v>
      </c>
      <c r="G6">
        <f>0.5+F6/($H$1*2)</f>
        <v>0.78353658536585358</v>
      </c>
    </row>
    <row r="7" spans="1:8" x14ac:dyDescent="0.25">
      <c r="A7" s="2">
        <v>43920.208333333343</v>
      </c>
      <c r="B7">
        <v>0.28783333375436049</v>
      </c>
      <c r="C7">
        <v>0</v>
      </c>
      <c r="D7">
        <v>-5.1100000000000003</v>
      </c>
      <c r="E7">
        <v>0.40086654384627846</v>
      </c>
      <c r="F7">
        <v>3.9679880960357119</v>
      </c>
      <c r="G7">
        <f>0.5+F7/($H$1*2)</f>
        <v>0.87804878048780488</v>
      </c>
    </row>
    <row r="8" spans="1:8" x14ac:dyDescent="0.25">
      <c r="A8" s="2">
        <v>43920.25</v>
      </c>
      <c r="B8">
        <v>0.60507879087794181</v>
      </c>
      <c r="C8">
        <v>0</v>
      </c>
      <c r="D8">
        <v>-5.4370000000000003</v>
      </c>
      <c r="E8">
        <v>0.62650399966394421</v>
      </c>
      <c r="F8">
        <v>4.9599851200446405</v>
      </c>
      <c r="G8">
        <f>0.5+F8/($H$1*2)</f>
        <v>0.97256097560975618</v>
      </c>
    </row>
    <row r="9" spans="1:8" x14ac:dyDescent="0.25">
      <c r="A9" s="2">
        <v>43920.291666666657</v>
      </c>
      <c r="B9">
        <v>0.48200859243897681</v>
      </c>
      <c r="C9">
        <v>0</v>
      </c>
      <c r="D9">
        <v>-5.26</v>
      </c>
      <c r="E9">
        <v>0.54008965488271055</v>
      </c>
      <c r="F9">
        <v>4.6719859840420472</v>
      </c>
      <c r="G9">
        <f>0.5+F9/($H$1*2)</f>
        <v>0.94512195121951215</v>
      </c>
    </row>
    <row r="10" spans="1:8" x14ac:dyDescent="0.25">
      <c r="A10" s="2">
        <v>43920.333333333343</v>
      </c>
      <c r="B10">
        <v>0.74905829719463934</v>
      </c>
      <c r="C10">
        <v>0.17299999999999999</v>
      </c>
      <c r="D10">
        <v>-3.1869999999999998</v>
      </c>
      <c r="E10">
        <v>0.40806773924471462</v>
      </c>
      <c r="F10">
        <v>4.5759862720411837</v>
      </c>
      <c r="G10">
        <f>0.5+F10/($H$1*2)</f>
        <v>0.9359756097560975</v>
      </c>
    </row>
    <row r="11" spans="1:8" x14ac:dyDescent="0.25">
      <c r="A11" s="2">
        <v>43920.375</v>
      </c>
      <c r="B11">
        <v>0.7403466012410983</v>
      </c>
      <c r="C11">
        <v>0.42199999999999999</v>
      </c>
      <c r="D11">
        <v>-0.59499999999999997</v>
      </c>
      <c r="E11">
        <v>0.39126494998169697</v>
      </c>
      <c r="F11">
        <v>4.3839868480394557</v>
      </c>
      <c r="G11">
        <f>0.5+F11/($H$1*2)</f>
        <v>0.91768292682926833</v>
      </c>
    </row>
    <row r="12" spans="1:8" x14ac:dyDescent="0.25">
      <c r="A12" s="2">
        <v>43920.416666666657</v>
      </c>
      <c r="B12">
        <v>0.66806540141745363</v>
      </c>
      <c r="C12">
        <v>0.62</v>
      </c>
      <c r="D12">
        <v>2.2509999999999999</v>
      </c>
      <c r="E12">
        <v>0.35525897298951625</v>
      </c>
      <c r="F12">
        <v>4.1919874240377277</v>
      </c>
      <c r="G12">
        <f>0.5+F12/($H$1*2)</f>
        <v>0.89939024390243905</v>
      </c>
    </row>
    <row r="13" spans="1:8" x14ac:dyDescent="0.25">
      <c r="A13" s="2">
        <v>43920.458333333343</v>
      </c>
      <c r="B13">
        <v>0.52453711734545783</v>
      </c>
      <c r="C13">
        <v>0.73899999999999999</v>
      </c>
      <c r="D13">
        <v>3.7959999999999998</v>
      </c>
      <c r="E13">
        <v>0.36005976992180705</v>
      </c>
      <c r="F13">
        <v>4.0159879520361441</v>
      </c>
      <c r="G13">
        <f>0.5+F13/($H$1*2)</f>
        <v>0.88262195121951215</v>
      </c>
    </row>
    <row r="14" spans="1:8" x14ac:dyDescent="0.25">
      <c r="A14" s="2">
        <v>43920.5</v>
      </c>
      <c r="B14">
        <v>0.87068426427981827</v>
      </c>
      <c r="C14">
        <v>0.77900000000000003</v>
      </c>
      <c r="D14">
        <v>5.0110000000000001</v>
      </c>
      <c r="E14">
        <v>0.34805777759108014</v>
      </c>
      <c r="F14">
        <v>3.9359881920354236</v>
      </c>
      <c r="G14">
        <f>0.5+F14/($H$1*2)</f>
        <v>0.875</v>
      </c>
    </row>
    <row r="15" spans="1:8" x14ac:dyDescent="0.25">
      <c r="A15" s="2">
        <v>43920.541666666657</v>
      </c>
      <c r="B15">
        <v>0.73990649006032316</v>
      </c>
      <c r="C15">
        <v>0.76200000000000001</v>
      </c>
      <c r="D15">
        <v>5.9550000000000001</v>
      </c>
      <c r="E15">
        <v>0.28084662053900949</v>
      </c>
      <c r="F15">
        <v>4.0159879520361441</v>
      </c>
      <c r="G15">
        <f>0.5+F15/($H$1*2)</f>
        <v>0.88262195121951215</v>
      </c>
    </row>
    <row r="16" spans="1:8" x14ac:dyDescent="0.25">
      <c r="A16" s="2">
        <v>43920.583333333343</v>
      </c>
      <c r="B16">
        <v>0.75444202999082255</v>
      </c>
      <c r="C16">
        <v>0.71599999999999997</v>
      </c>
      <c r="D16">
        <v>6.593</v>
      </c>
      <c r="E16">
        <v>0.26884462820828259</v>
      </c>
      <c r="F16">
        <v>4.1279876160371511</v>
      </c>
      <c r="G16">
        <f>0.5+F16/($H$1*2)</f>
        <v>0.89329268292682917</v>
      </c>
    </row>
    <row r="17" spans="1:7" x14ac:dyDescent="0.25">
      <c r="A17" s="2">
        <v>43920.625</v>
      </c>
      <c r="B17">
        <v>0.43477085266850318</v>
      </c>
      <c r="C17">
        <v>0.61199999999999999</v>
      </c>
      <c r="D17">
        <v>6.8140000000000001</v>
      </c>
      <c r="E17">
        <v>0.24003984661453803</v>
      </c>
      <c r="F17">
        <v>4.2879871360385922</v>
      </c>
      <c r="G17">
        <f>0.5+F17/($H$1*2)</f>
        <v>0.90853658536585369</v>
      </c>
    </row>
    <row r="18" spans="1:7" x14ac:dyDescent="0.25">
      <c r="A18" s="2">
        <v>43920.666666666657</v>
      </c>
      <c r="B18">
        <v>0.60845037311362082</v>
      </c>
      <c r="C18">
        <v>0.47</v>
      </c>
      <c r="D18">
        <v>6.7069999999999999</v>
      </c>
      <c r="E18">
        <v>0.28084662053900949</v>
      </c>
      <c r="F18">
        <v>4.4639866080401758</v>
      </c>
      <c r="G18">
        <f>0.5+F18/($H$1*2)</f>
        <v>0.92530487804878048</v>
      </c>
    </row>
    <row r="19" spans="1:7" x14ac:dyDescent="0.25">
      <c r="A19" s="2">
        <v>43920.708333333343</v>
      </c>
      <c r="B19">
        <v>0.595174543463449</v>
      </c>
      <c r="C19">
        <v>0.32</v>
      </c>
      <c r="D19">
        <v>6.4260000000000002</v>
      </c>
      <c r="E19">
        <v>0.33125498832806249</v>
      </c>
      <c r="F19">
        <v>4.5919862240413281</v>
      </c>
      <c r="G19">
        <f>0.5+F19/($H$1*2)</f>
        <v>0.9375</v>
      </c>
    </row>
    <row r="20" spans="1:7" x14ac:dyDescent="0.25">
      <c r="A20" s="2">
        <v>43920.75</v>
      </c>
      <c r="B20">
        <v>0.63934474033791433</v>
      </c>
      <c r="C20">
        <v>0.155</v>
      </c>
      <c r="D20">
        <v>5.7889999999999997</v>
      </c>
      <c r="E20">
        <v>0.3216533944634809</v>
      </c>
      <c r="F20">
        <v>4.6719859840420472</v>
      </c>
      <c r="G20">
        <f>0.5+F20/($H$1*2)</f>
        <v>0.94512195121951215</v>
      </c>
    </row>
    <row r="21" spans="1:7" x14ac:dyDescent="0.25">
      <c r="A21" s="2">
        <v>43920.791666666657</v>
      </c>
      <c r="B21">
        <v>0.81843456140488979</v>
      </c>
      <c r="C21">
        <v>1.6E-2</v>
      </c>
      <c r="D21">
        <v>3.6640000000000001</v>
      </c>
      <c r="E21">
        <v>0.33845618372649861</v>
      </c>
      <c r="F21">
        <v>4.6239861280416159</v>
      </c>
      <c r="G21">
        <f>0.5+F21/($H$1*2)</f>
        <v>0.94054878048780488</v>
      </c>
    </row>
    <row r="22" spans="1:7" x14ac:dyDescent="0.25">
      <c r="A22" s="2">
        <v>43920.833333333343</v>
      </c>
      <c r="B22">
        <v>1.05191029736033</v>
      </c>
      <c r="C22">
        <v>0</v>
      </c>
      <c r="D22">
        <v>2.0470000000000002</v>
      </c>
      <c r="E22">
        <v>0.35045817605722546</v>
      </c>
      <c r="F22">
        <v>4.4159867520397444</v>
      </c>
      <c r="G22">
        <f>0.5+F22/($H$1*2)</f>
        <v>0.92073170731707321</v>
      </c>
    </row>
    <row r="23" spans="1:7" x14ac:dyDescent="0.25">
      <c r="A23" s="2">
        <v>43920.875</v>
      </c>
      <c r="B23">
        <v>0.71723582978771394</v>
      </c>
      <c r="C23">
        <v>0</v>
      </c>
      <c r="D23">
        <v>2.024</v>
      </c>
      <c r="E23">
        <v>0.30004980826817246</v>
      </c>
      <c r="F23">
        <v>3.9199882400352801</v>
      </c>
      <c r="G23">
        <f>0.5+F23/($H$1*2)</f>
        <v>0.87347560975609762</v>
      </c>
    </row>
    <row r="24" spans="1:7" x14ac:dyDescent="0.25">
      <c r="A24" s="2">
        <v>43920.916666666657</v>
      </c>
      <c r="B24">
        <v>0.45857020898729428</v>
      </c>
      <c r="C24">
        <v>0</v>
      </c>
      <c r="D24">
        <v>2.008</v>
      </c>
      <c r="E24">
        <v>0.17522908802861273</v>
      </c>
      <c r="F24">
        <v>2.8799913600259197</v>
      </c>
      <c r="G24">
        <f>0.5+F24/($H$1*2)</f>
        <v>0.77439024390243905</v>
      </c>
    </row>
    <row r="25" spans="1:7" x14ac:dyDescent="0.25">
      <c r="A25" s="2">
        <v>43920.958333333343</v>
      </c>
      <c r="B25">
        <v>0.50864042187287184</v>
      </c>
      <c r="C25">
        <v>0</v>
      </c>
      <c r="D25">
        <v>1.625</v>
      </c>
      <c r="E25">
        <v>7.2011953984361401E-2</v>
      </c>
      <c r="F25">
        <v>2.3839928480214563</v>
      </c>
      <c r="G25">
        <f>0.5+F25/($H$1*2)</f>
        <v>0.72713414634146345</v>
      </c>
    </row>
    <row r="26" spans="1:7" x14ac:dyDescent="0.25">
      <c r="A26" s="2">
        <v>43921</v>
      </c>
      <c r="B26">
        <v>0.31749336918435073</v>
      </c>
      <c r="C26">
        <v>0</v>
      </c>
      <c r="D26">
        <v>1.091</v>
      </c>
      <c r="E26">
        <v>2.8804781593744562E-2</v>
      </c>
      <c r="F26">
        <v>2.4159927520217441</v>
      </c>
      <c r="G26">
        <f>0.5+F26/($H$1*2)</f>
        <v>0.73018292682926833</v>
      </c>
    </row>
    <row r="27" spans="1:7" x14ac:dyDescent="0.25">
      <c r="A27" s="2">
        <v>43921.041666666657</v>
      </c>
      <c r="B27">
        <v>0.1431895555095638</v>
      </c>
      <c r="C27">
        <v>0</v>
      </c>
      <c r="D27">
        <v>1.03</v>
      </c>
      <c r="E27">
        <v>3.6005976992180701E-2</v>
      </c>
      <c r="F27">
        <v>2.4799925600223203</v>
      </c>
      <c r="G27">
        <f>0.5+F27/($H$1*2)</f>
        <v>0.73628048780487809</v>
      </c>
    </row>
    <row r="28" spans="1:7" x14ac:dyDescent="0.25">
      <c r="A28" s="2">
        <v>43921.083333333343</v>
      </c>
      <c r="B28">
        <v>0.19243164369949611</v>
      </c>
      <c r="C28">
        <v>0</v>
      </c>
      <c r="D28">
        <v>1.357</v>
      </c>
      <c r="E28">
        <v>2.8804781593744562E-2</v>
      </c>
      <c r="F28">
        <v>2.5599923200230399</v>
      </c>
      <c r="G28">
        <f>0.5+F28/($H$1*2)</f>
        <v>0.74390243902439024</v>
      </c>
    </row>
    <row r="29" spans="1:7" x14ac:dyDescent="0.25">
      <c r="A29" s="2">
        <v>43921.125</v>
      </c>
      <c r="B29">
        <v>0.30899687169565132</v>
      </c>
      <c r="C29">
        <v>0</v>
      </c>
      <c r="D29">
        <v>1.5920000000000001</v>
      </c>
      <c r="E29">
        <v>5.2808766255198362E-2</v>
      </c>
      <c r="F29">
        <v>2.71999184002448</v>
      </c>
      <c r="G29">
        <f>0.5+F29/($H$1*2)</f>
        <v>0.75914634146341464</v>
      </c>
    </row>
    <row r="30" spans="1:7" x14ac:dyDescent="0.25">
      <c r="A30" s="2">
        <v>43921.166666666657</v>
      </c>
      <c r="B30">
        <v>0.28446751686397048</v>
      </c>
      <c r="C30">
        <v>0</v>
      </c>
      <c r="D30">
        <v>1.3560000000000001</v>
      </c>
      <c r="E30">
        <v>0.12722111870570516</v>
      </c>
      <c r="F30">
        <v>3.1519905440283678</v>
      </c>
      <c r="G30">
        <f>0.5+F30/($H$1*2)</f>
        <v>0.80030487804878048</v>
      </c>
    </row>
    <row r="31" spans="1:7" x14ac:dyDescent="0.25">
      <c r="A31" s="2">
        <v>43921.208333333343</v>
      </c>
      <c r="B31">
        <v>0.22800289975656449</v>
      </c>
      <c r="C31">
        <v>0</v>
      </c>
      <c r="D31">
        <v>0.98</v>
      </c>
      <c r="E31">
        <v>0.40086654384627846</v>
      </c>
      <c r="F31">
        <v>4.1919874240377277</v>
      </c>
      <c r="G31">
        <f>0.5+F31/($H$1*2)</f>
        <v>0.89939024390243905</v>
      </c>
    </row>
    <row r="32" spans="1:7" x14ac:dyDescent="0.25">
      <c r="A32" s="2">
        <v>43921.25</v>
      </c>
      <c r="B32">
        <v>0.44799971577468772</v>
      </c>
      <c r="C32">
        <v>0</v>
      </c>
      <c r="D32">
        <v>0.754</v>
      </c>
      <c r="E32">
        <v>0.62650399966394421</v>
      </c>
      <c r="F32">
        <v>5.2479842560472321</v>
      </c>
      <c r="G32">
        <f>0.5+F32/($H$1*2)</f>
        <v>1</v>
      </c>
    </row>
    <row r="33" spans="1:7" x14ac:dyDescent="0.25">
      <c r="A33" s="2">
        <v>43921.291666666657</v>
      </c>
      <c r="B33">
        <v>0.72360015295531088</v>
      </c>
      <c r="C33">
        <v>0</v>
      </c>
      <c r="D33">
        <v>0.78600000000000003</v>
      </c>
      <c r="E33">
        <v>0.54008965488271055</v>
      </c>
      <c r="F33">
        <v>4.9439851680444953</v>
      </c>
      <c r="G33">
        <f>0.5+F33/($H$1*2)</f>
        <v>0.97103658536585358</v>
      </c>
    </row>
    <row r="34" spans="1:7" x14ac:dyDescent="0.25">
      <c r="A34" s="2">
        <v>43921.333333333343</v>
      </c>
      <c r="B34">
        <v>0.7502300538595077</v>
      </c>
      <c r="C34">
        <v>5.1999999999999998E-2</v>
      </c>
      <c r="D34">
        <v>1.0429999999999999</v>
      </c>
      <c r="E34">
        <v>0.40806773924471462</v>
      </c>
      <c r="F34">
        <v>4.8479854560436317</v>
      </c>
      <c r="G34">
        <f>0.5+F34/($H$1*2)</f>
        <v>0.96189024390243905</v>
      </c>
    </row>
    <row r="35" spans="1:7" x14ac:dyDescent="0.25">
      <c r="A35" s="2">
        <v>43921.375</v>
      </c>
      <c r="B35">
        <v>0.62707977279637817</v>
      </c>
      <c r="C35">
        <v>0.20399999999999999</v>
      </c>
      <c r="D35">
        <v>1.9019999999999999</v>
      </c>
      <c r="E35">
        <v>0.39126494998169697</v>
      </c>
      <c r="F35">
        <v>4.6399860800417603</v>
      </c>
      <c r="G35">
        <f>0.5+F35/($H$1*2)</f>
        <v>0.94207317073170738</v>
      </c>
    </row>
    <row r="36" spans="1:7" x14ac:dyDescent="0.25">
      <c r="A36" s="2">
        <v>43921.416666666657</v>
      </c>
      <c r="B36">
        <v>0.71834138639665435</v>
      </c>
      <c r="C36">
        <v>0.56699999999999995</v>
      </c>
      <c r="D36">
        <v>4.0590000000000002</v>
      </c>
      <c r="E36">
        <v>0.35525897298951625</v>
      </c>
      <c r="F36">
        <v>4.4479866560400314</v>
      </c>
      <c r="G36">
        <f>0.5+F36/($H$1*2)</f>
        <v>0.92378048780487798</v>
      </c>
    </row>
    <row r="37" spans="1:7" x14ac:dyDescent="0.25">
      <c r="A37" s="2">
        <v>43921.458333333343</v>
      </c>
      <c r="B37">
        <v>0.71658679326596508</v>
      </c>
      <c r="C37">
        <v>0.76400000000000001</v>
      </c>
      <c r="D37">
        <v>6.1269999999999998</v>
      </c>
      <c r="E37">
        <v>0.36005976992180705</v>
      </c>
      <c r="F37">
        <v>4.2559872320383034</v>
      </c>
      <c r="G37">
        <f>0.5+F37/($H$1*2)</f>
        <v>0.9054878048780487</v>
      </c>
    </row>
    <row r="38" spans="1:7" x14ac:dyDescent="0.25">
      <c r="A38" s="2">
        <v>43921.5</v>
      </c>
      <c r="B38">
        <v>0.83328913601639831</v>
      </c>
      <c r="C38">
        <v>0.85299999999999998</v>
      </c>
      <c r="D38">
        <v>7.3680000000000003</v>
      </c>
      <c r="E38">
        <v>0.34805777759108014</v>
      </c>
      <c r="F38">
        <v>4.1759874720375842</v>
      </c>
      <c r="G38">
        <f>0.5+F38/($H$1*2)</f>
        <v>0.89786585365853666</v>
      </c>
    </row>
    <row r="39" spans="1:7" x14ac:dyDescent="0.25">
      <c r="A39" s="2">
        <v>43921.541666666657</v>
      </c>
      <c r="B39">
        <v>0.52315761634142666</v>
      </c>
      <c r="C39">
        <v>0.88400000000000001</v>
      </c>
      <c r="D39">
        <v>8.2200000000000006</v>
      </c>
      <c r="E39">
        <v>0.28084662053900949</v>
      </c>
      <c r="F39">
        <v>4.2559872320383034</v>
      </c>
      <c r="G39">
        <f>0.5+F39/($H$1*2)</f>
        <v>0.9054878048780487</v>
      </c>
    </row>
    <row r="40" spans="1:7" x14ac:dyDescent="0.25">
      <c r="A40" s="2">
        <v>43921.583333333343</v>
      </c>
      <c r="B40">
        <v>0.62033445079448923</v>
      </c>
      <c r="C40">
        <v>0.86</v>
      </c>
      <c r="D40">
        <v>8.7650000000000006</v>
      </c>
      <c r="E40">
        <v>0.26884462820828259</v>
      </c>
      <c r="F40">
        <v>4.3679868960393122</v>
      </c>
      <c r="G40">
        <f>0.5+F40/($H$1*2)</f>
        <v>0.91615853658536595</v>
      </c>
    </row>
    <row r="41" spans="1:7" x14ac:dyDescent="0.25">
      <c r="A41" s="2">
        <v>43921.625</v>
      </c>
      <c r="B41">
        <v>0.73687512654534693</v>
      </c>
      <c r="C41">
        <v>0.78300000000000003</v>
      </c>
      <c r="D41">
        <v>8.9890000000000008</v>
      </c>
      <c r="E41">
        <v>0.24003984661453803</v>
      </c>
      <c r="F41">
        <v>4.5439863680408958</v>
      </c>
      <c r="G41">
        <f>0.5+F41/($H$1*2)</f>
        <v>0.93292682926829262</v>
      </c>
    </row>
    <row r="42" spans="1:7" x14ac:dyDescent="0.25">
      <c r="A42" s="2">
        <v>43921.666666666657</v>
      </c>
      <c r="B42">
        <v>0.51028015840112806</v>
      </c>
      <c r="C42">
        <v>0.65100000000000002</v>
      </c>
      <c r="D42">
        <v>8.8390000000000004</v>
      </c>
      <c r="E42">
        <v>0.28084662053900949</v>
      </c>
      <c r="F42">
        <v>4.7199858400424795</v>
      </c>
      <c r="G42">
        <f>0.5+F42/($H$1*2)</f>
        <v>0.94969512195121952</v>
      </c>
    </row>
    <row r="43" spans="1:7" x14ac:dyDescent="0.25">
      <c r="A43" s="2">
        <v>43921.708333333343</v>
      </c>
      <c r="B43">
        <v>0.4537346483657671</v>
      </c>
      <c r="C43">
        <v>0.46300000000000002</v>
      </c>
      <c r="D43">
        <v>8.3219999999999992</v>
      </c>
      <c r="E43">
        <v>0.33125498832806249</v>
      </c>
      <c r="F43">
        <v>4.8639854080437761</v>
      </c>
      <c r="G43">
        <f>0.5+F43/($H$1*2)</f>
        <v>0.96341463414634143</v>
      </c>
    </row>
    <row r="44" spans="1:7" x14ac:dyDescent="0.25">
      <c r="A44" s="2">
        <v>43921.75</v>
      </c>
      <c r="B44">
        <v>0.68465061429900287</v>
      </c>
      <c r="C44">
        <v>0.23200000000000001</v>
      </c>
      <c r="D44">
        <v>7.3019999999999996</v>
      </c>
      <c r="E44">
        <v>0.3216533944634809</v>
      </c>
      <c r="F44">
        <v>4.9279852160443518</v>
      </c>
      <c r="G44">
        <f>0.5+F44/($H$1*2)</f>
        <v>0.96951219512195119</v>
      </c>
    </row>
    <row r="45" spans="1:7" x14ac:dyDescent="0.25">
      <c r="A45" s="2">
        <v>43921.791666666657</v>
      </c>
      <c r="B45">
        <v>0.80945958293371922</v>
      </c>
      <c r="C45">
        <v>0.03</v>
      </c>
      <c r="D45">
        <v>4.5369999999999999</v>
      </c>
      <c r="E45">
        <v>0.33845618372649861</v>
      </c>
      <c r="F45">
        <v>4.895985312044064</v>
      </c>
      <c r="G45">
        <f>0.5+F45/($H$1*2)</f>
        <v>0.96646341463414631</v>
      </c>
    </row>
    <row r="46" spans="1:7" x14ac:dyDescent="0.25">
      <c r="A46" s="2">
        <v>43921.833333333343</v>
      </c>
      <c r="B46">
        <v>0.76384604135170953</v>
      </c>
      <c r="C46">
        <v>0</v>
      </c>
      <c r="D46">
        <v>1.996</v>
      </c>
      <c r="E46">
        <v>0.35045817605722546</v>
      </c>
      <c r="F46">
        <v>4.6559860320419038</v>
      </c>
      <c r="G46">
        <f>0.5+F46/($H$1*2)</f>
        <v>0.94359756097560976</v>
      </c>
    </row>
    <row r="47" spans="1:7" x14ac:dyDescent="0.25">
      <c r="A47" s="2">
        <v>43921.875</v>
      </c>
      <c r="B47">
        <v>0.86699044452911411</v>
      </c>
      <c r="C47">
        <v>0</v>
      </c>
      <c r="D47">
        <v>1.2450000000000001</v>
      </c>
      <c r="E47">
        <v>0.30004980826817246</v>
      </c>
      <c r="F47">
        <v>4.1439875680372964</v>
      </c>
      <c r="G47">
        <f>0.5+F47/($H$1*2)</f>
        <v>0.89481707317073167</v>
      </c>
    </row>
    <row r="48" spans="1:7" x14ac:dyDescent="0.25">
      <c r="A48" s="2">
        <v>43921.916666666657</v>
      </c>
      <c r="B48">
        <v>0.71262528654403301</v>
      </c>
      <c r="C48">
        <v>0</v>
      </c>
      <c r="D48">
        <v>0.51900000000000002</v>
      </c>
      <c r="E48">
        <v>0.17522908802861273</v>
      </c>
      <c r="F48">
        <v>3.0399908800273598</v>
      </c>
      <c r="G48">
        <f>0.5+F48/($H$1*2)</f>
        <v>0.78963414634146334</v>
      </c>
    </row>
    <row r="49" spans="1:7" x14ac:dyDescent="0.25">
      <c r="A49" s="2">
        <v>43921.958333333343</v>
      </c>
      <c r="B49">
        <v>0.53892176386675239</v>
      </c>
      <c r="C49">
        <v>0</v>
      </c>
      <c r="D49">
        <v>-0.21299999999999999</v>
      </c>
      <c r="E49">
        <v>7.2011953984361401E-2</v>
      </c>
      <c r="F49">
        <v>2.527992416022752</v>
      </c>
      <c r="G49">
        <f>0.5+F49/($H$1*2)</f>
        <v>0.74085365853658536</v>
      </c>
    </row>
    <row r="50" spans="1:7" x14ac:dyDescent="0.25">
      <c r="A50" s="2">
        <v>43922</v>
      </c>
      <c r="B50">
        <v>0.13852254635141281</v>
      </c>
      <c r="C50">
        <v>0</v>
      </c>
      <c r="D50">
        <v>-0.90700000000000003</v>
      </c>
      <c r="E50">
        <v>2.8804781593744562E-2</v>
      </c>
      <c r="F50">
        <v>2.3839928480214563</v>
      </c>
      <c r="G50">
        <f>0.5+F50/($H$1*2)</f>
        <v>0.72713414634146345</v>
      </c>
    </row>
    <row r="51" spans="1:7" x14ac:dyDescent="0.25">
      <c r="A51" s="2">
        <v>43922.041666666657</v>
      </c>
      <c r="B51">
        <v>0.34564211435361802</v>
      </c>
      <c r="C51">
        <v>0</v>
      </c>
      <c r="D51">
        <v>-1.4159999999999999</v>
      </c>
      <c r="E51">
        <v>3.6005976992180701E-2</v>
      </c>
      <c r="F51">
        <v>2.447992656022032</v>
      </c>
      <c r="G51">
        <f>0.5+F51/($H$1*2)</f>
        <v>0.7332317073170731</v>
      </c>
    </row>
    <row r="52" spans="1:7" x14ac:dyDescent="0.25">
      <c r="A52" s="2">
        <v>43922.083333333343</v>
      </c>
      <c r="B52">
        <v>0.22251661895802499</v>
      </c>
      <c r="C52">
        <v>0</v>
      </c>
      <c r="D52">
        <v>-1.633</v>
      </c>
      <c r="E52">
        <v>2.8804781593744562E-2</v>
      </c>
      <c r="F52">
        <v>2.527992416022752</v>
      </c>
      <c r="G52">
        <f>0.5+F52/($H$1*2)</f>
        <v>0.74085365853658536</v>
      </c>
    </row>
    <row r="53" spans="1:7" x14ac:dyDescent="0.25">
      <c r="A53" s="2">
        <v>43922.125</v>
      </c>
      <c r="B53">
        <v>0.10558180861234789</v>
      </c>
      <c r="C53">
        <v>0</v>
      </c>
      <c r="D53">
        <v>-1.595</v>
      </c>
      <c r="E53">
        <v>5.2808766255198362E-2</v>
      </c>
      <c r="F53">
        <v>2.6879919360241922</v>
      </c>
      <c r="G53">
        <f>0.5+F53/($H$1*2)</f>
        <v>0.75609756097560976</v>
      </c>
    </row>
    <row r="54" spans="1:7" x14ac:dyDescent="0.25">
      <c r="A54" s="2">
        <v>43922.166666666657</v>
      </c>
      <c r="B54">
        <v>0.24166161503786551</v>
      </c>
      <c r="C54">
        <v>0</v>
      </c>
      <c r="D54">
        <v>-1.486</v>
      </c>
      <c r="E54">
        <v>0.12722111870570516</v>
      </c>
      <c r="F54">
        <v>3.103990688027936</v>
      </c>
      <c r="G54">
        <f>0.5+F54/($H$1*2)</f>
        <v>0.7957317073170731</v>
      </c>
    </row>
    <row r="55" spans="1:7" x14ac:dyDescent="0.25">
      <c r="A55" s="2">
        <v>43922.208333333343</v>
      </c>
      <c r="B55">
        <v>9.9591968361862543E-2</v>
      </c>
      <c r="C55">
        <v>0</v>
      </c>
      <c r="D55">
        <v>-1.4550000000000001</v>
      </c>
      <c r="E55">
        <v>0.40086654384627846</v>
      </c>
      <c r="F55">
        <v>4.1439875680372964</v>
      </c>
      <c r="G55">
        <f>0.5+F55/($H$1*2)</f>
        <v>0.89481707317073167</v>
      </c>
    </row>
    <row r="56" spans="1:7" x14ac:dyDescent="0.25">
      <c r="A56" s="2">
        <v>43922.25</v>
      </c>
      <c r="B56">
        <v>0.4286504299977783</v>
      </c>
      <c r="C56">
        <v>0</v>
      </c>
      <c r="D56">
        <v>-1.5920000000000001</v>
      </c>
      <c r="E56">
        <v>0.62650399966394421</v>
      </c>
      <c r="F56">
        <v>5.167984496046512</v>
      </c>
      <c r="G56">
        <f>0.5+F56/($H$1*2)</f>
        <v>0.99237804878048785</v>
      </c>
    </row>
    <row r="57" spans="1:7" x14ac:dyDescent="0.25">
      <c r="A57" s="2">
        <v>43922.291666666657</v>
      </c>
      <c r="B57">
        <v>0.63116742545642845</v>
      </c>
      <c r="C57">
        <v>0</v>
      </c>
      <c r="D57">
        <v>-1.4690000000000001</v>
      </c>
      <c r="E57">
        <v>0.54008965488271055</v>
      </c>
      <c r="F57">
        <v>4.8799853600439196</v>
      </c>
      <c r="G57">
        <f>0.5+F57/($H$1*2)</f>
        <v>0.96493902439024382</v>
      </c>
    </row>
    <row r="58" spans="1:7" x14ac:dyDescent="0.25">
      <c r="A58" s="2">
        <v>43922.333333333343</v>
      </c>
      <c r="B58">
        <v>0.78143380758842518</v>
      </c>
      <c r="C58">
        <v>0.16900000000000001</v>
      </c>
      <c r="D58">
        <v>0.501</v>
      </c>
      <c r="E58">
        <v>0.40806773924471462</v>
      </c>
      <c r="F58">
        <v>4.783985648043056</v>
      </c>
      <c r="G58">
        <f>0.5+F58/($H$1*2)</f>
        <v>0.95579268292682928</v>
      </c>
    </row>
    <row r="59" spans="1:7" x14ac:dyDescent="0.25">
      <c r="A59" s="2">
        <v>43922.375</v>
      </c>
      <c r="B59">
        <v>0.73502891911989998</v>
      </c>
      <c r="C59">
        <v>0.41099999999999998</v>
      </c>
      <c r="D59">
        <v>2.5430000000000001</v>
      </c>
      <c r="E59">
        <v>0.39126494998169697</v>
      </c>
      <c r="F59">
        <v>4.5759862720411837</v>
      </c>
      <c r="G59">
        <f>0.5+F59/($H$1*2)</f>
        <v>0.9359756097560975</v>
      </c>
    </row>
    <row r="60" spans="1:7" x14ac:dyDescent="0.25">
      <c r="A60" s="2">
        <v>43922.416666666657</v>
      </c>
      <c r="B60">
        <v>0.65984685672132881</v>
      </c>
      <c r="C60">
        <v>0.61299999999999999</v>
      </c>
      <c r="D60">
        <v>5.5350000000000001</v>
      </c>
      <c r="E60">
        <v>0.35525897298951625</v>
      </c>
      <c r="F60">
        <v>4.3839868480394557</v>
      </c>
      <c r="G60">
        <f>0.5+F60/($H$1*2)</f>
        <v>0.91768292682926833</v>
      </c>
    </row>
    <row r="61" spans="1:7" x14ac:dyDescent="0.25">
      <c r="A61" s="2">
        <v>43922.458333333343</v>
      </c>
      <c r="B61">
        <v>0.80575740556966324</v>
      </c>
      <c r="C61">
        <v>0.75700000000000001</v>
      </c>
      <c r="D61">
        <v>6.891</v>
      </c>
      <c r="E61">
        <v>0.36005976992180705</v>
      </c>
      <c r="F61">
        <v>4.1919874240377277</v>
      </c>
      <c r="G61">
        <f>0.5+F61/($H$1*2)</f>
        <v>0.89939024390243905</v>
      </c>
    </row>
    <row r="62" spans="1:7" x14ac:dyDescent="0.25">
      <c r="A62" s="2">
        <v>43922.5</v>
      </c>
      <c r="B62">
        <v>0.76666535918307321</v>
      </c>
      <c r="C62">
        <v>0.84399999999999997</v>
      </c>
      <c r="D62">
        <v>7.9740000000000002</v>
      </c>
      <c r="E62">
        <v>0.34805777759108014</v>
      </c>
      <c r="F62">
        <v>4.1119876640370077</v>
      </c>
      <c r="G62">
        <f>0.5+F62/($H$1*2)</f>
        <v>0.89176829268292679</v>
      </c>
    </row>
    <row r="63" spans="1:7" x14ac:dyDescent="0.25">
      <c r="A63" s="2">
        <v>43922.541666666657</v>
      </c>
      <c r="B63">
        <v>0.66649547907780593</v>
      </c>
      <c r="C63">
        <v>0.875</v>
      </c>
      <c r="D63">
        <v>8.86</v>
      </c>
      <c r="E63">
        <v>0.28084662053900949</v>
      </c>
      <c r="F63">
        <v>4.1919874240377277</v>
      </c>
      <c r="G63">
        <f>0.5+F63/($H$1*2)</f>
        <v>0.89939024390243905</v>
      </c>
    </row>
    <row r="64" spans="1:7" x14ac:dyDescent="0.25">
      <c r="A64" s="2">
        <v>43922.583333333343</v>
      </c>
      <c r="B64">
        <v>0.74914352825937525</v>
      </c>
      <c r="C64">
        <v>0.85099999999999998</v>
      </c>
      <c r="D64">
        <v>9.5050000000000008</v>
      </c>
      <c r="E64">
        <v>0.26884462820828259</v>
      </c>
      <c r="F64">
        <v>4.3039870880387356</v>
      </c>
      <c r="G64">
        <f>0.5+F64/($H$1*2)</f>
        <v>0.91006097560975607</v>
      </c>
    </row>
    <row r="65" spans="1:7" x14ac:dyDescent="0.25">
      <c r="A65" s="2">
        <v>43922.625</v>
      </c>
      <c r="B65">
        <v>0.58878896433275985</v>
      </c>
      <c r="C65">
        <v>0.77500000000000002</v>
      </c>
      <c r="D65">
        <v>9.8109999999999999</v>
      </c>
      <c r="E65">
        <v>0.24003984661453803</v>
      </c>
      <c r="F65">
        <v>4.4799865600403201</v>
      </c>
      <c r="G65">
        <f>0.5+F65/($H$1*2)</f>
        <v>0.92682926829268286</v>
      </c>
    </row>
    <row r="66" spans="1:7" x14ac:dyDescent="0.25">
      <c r="A66" s="2">
        <v>43922.666666666657</v>
      </c>
      <c r="B66">
        <v>0.41497931122772891</v>
      </c>
      <c r="C66">
        <v>0.64300000000000002</v>
      </c>
      <c r="D66">
        <v>9.7469999999999999</v>
      </c>
      <c r="E66">
        <v>0.28084662053900949</v>
      </c>
      <c r="F66">
        <v>4.6559860320419038</v>
      </c>
      <c r="G66">
        <f>0.5+F66/($H$1*2)</f>
        <v>0.94359756097560976</v>
      </c>
    </row>
    <row r="67" spans="1:7" x14ac:dyDescent="0.25">
      <c r="A67" s="2">
        <v>43922.708333333343</v>
      </c>
      <c r="B67">
        <v>0.57622657918037901</v>
      </c>
      <c r="C67">
        <v>0.45600000000000002</v>
      </c>
      <c r="D67">
        <v>9.3059999999999992</v>
      </c>
      <c r="E67">
        <v>0.33125498832806249</v>
      </c>
      <c r="F67">
        <v>4.7999856000431995</v>
      </c>
      <c r="G67">
        <f>0.5+F67/($H$1*2)</f>
        <v>0.95731707317073167</v>
      </c>
    </row>
    <row r="68" spans="1:7" x14ac:dyDescent="0.25">
      <c r="A68" s="2">
        <v>43922.75</v>
      </c>
      <c r="B68">
        <v>0.72393730887512264</v>
      </c>
      <c r="C68">
        <v>0.22900000000000001</v>
      </c>
      <c r="D68">
        <v>8.3010000000000002</v>
      </c>
      <c r="E68">
        <v>0.3216533944634809</v>
      </c>
      <c r="F68">
        <v>4.8639854080437761</v>
      </c>
      <c r="G68">
        <f>0.5+F68/($H$1*2)</f>
        <v>0.96341463414634143</v>
      </c>
    </row>
    <row r="69" spans="1:7" x14ac:dyDescent="0.25">
      <c r="A69" s="2">
        <v>43922.791666666657</v>
      </c>
      <c r="B69">
        <v>0.64311272632386596</v>
      </c>
      <c r="C69">
        <v>3.1E-2</v>
      </c>
      <c r="D69">
        <v>5.3719999999999999</v>
      </c>
      <c r="E69">
        <v>0.33845618372649861</v>
      </c>
      <c r="F69">
        <v>4.8159855520433439</v>
      </c>
      <c r="G69">
        <f>0.5+F69/($H$1*2)</f>
        <v>0.95884146341463405</v>
      </c>
    </row>
    <row r="70" spans="1:7" x14ac:dyDescent="0.25">
      <c r="A70" s="2">
        <v>43922.833333333343</v>
      </c>
      <c r="B70">
        <v>1.0031625159027271</v>
      </c>
      <c r="C70">
        <v>0</v>
      </c>
      <c r="D70">
        <v>2.64</v>
      </c>
      <c r="E70">
        <v>0.35045817605722546</v>
      </c>
      <c r="F70">
        <v>4.5919862240413281</v>
      </c>
      <c r="G70">
        <f>0.5+F70/($H$1*2)</f>
        <v>0.9375</v>
      </c>
    </row>
    <row r="71" spans="1:7" x14ac:dyDescent="0.25">
      <c r="A71" s="2">
        <v>43922.875</v>
      </c>
      <c r="B71">
        <v>0.84002963064318714</v>
      </c>
      <c r="C71">
        <v>0</v>
      </c>
      <c r="D71">
        <v>1.804</v>
      </c>
      <c r="E71">
        <v>0.30004980826817246</v>
      </c>
      <c r="F71">
        <v>4.0959877120368642</v>
      </c>
      <c r="G71">
        <f>0.5+F71/($H$1*2)</f>
        <v>0.8902439024390244</v>
      </c>
    </row>
    <row r="72" spans="1:7" x14ac:dyDescent="0.25">
      <c r="A72" s="2">
        <v>43922.916666666657</v>
      </c>
      <c r="B72">
        <v>0.67084072426269747</v>
      </c>
      <c r="C72">
        <v>0</v>
      </c>
      <c r="D72">
        <v>1.04</v>
      </c>
      <c r="E72">
        <v>0.17522908802861273</v>
      </c>
      <c r="F72">
        <v>3.007990976027072</v>
      </c>
      <c r="G72">
        <f>0.5+F72/($H$1*2)</f>
        <v>0.78658536585365857</v>
      </c>
    </row>
    <row r="73" spans="1:7" x14ac:dyDescent="0.25">
      <c r="A73" s="2">
        <v>43922.958333333343</v>
      </c>
      <c r="B73">
        <v>0.51940708336336783</v>
      </c>
      <c r="C73">
        <v>0</v>
      </c>
      <c r="D73">
        <v>0.17299999999999999</v>
      </c>
      <c r="E73">
        <v>7.2011953984361401E-2</v>
      </c>
      <c r="F73">
        <v>2.4959925120224637</v>
      </c>
      <c r="G73">
        <f>0.5+F73/($H$1*2)</f>
        <v>0.73780487804878048</v>
      </c>
    </row>
    <row r="74" spans="1:7" x14ac:dyDescent="0.25">
      <c r="A74" s="2">
        <v>43923</v>
      </c>
      <c r="B74">
        <v>0.19313657809635759</v>
      </c>
      <c r="C74">
        <v>0</v>
      </c>
      <c r="D74">
        <v>-0.68400000000000005</v>
      </c>
      <c r="E74">
        <v>2.8804781593744562E-2</v>
      </c>
      <c r="F74">
        <v>2.0479938560184321</v>
      </c>
      <c r="G74">
        <f>0.5+F74/($H$1*2)</f>
        <v>0.69512195121951215</v>
      </c>
    </row>
    <row r="75" spans="1:7" x14ac:dyDescent="0.25">
      <c r="A75" s="2">
        <v>43923.041666666657</v>
      </c>
      <c r="B75">
        <v>0.34169463364156272</v>
      </c>
      <c r="C75">
        <v>0</v>
      </c>
      <c r="D75">
        <v>-0.95699999999999996</v>
      </c>
      <c r="E75">
        <v>3.6005976992180701E-2</v>
      </c>
      <c r="F75">
        <v>2.1119936640190082</v>
      </c>
      <c r="G75">
        <f>0.5+F75/($H$1*2)</f>
        <v>0.70121951219512191</v>
      </c>
    </row>
    <row r="76" spans="1:7" x14ac:dyDescent="0.25">
      <c r="A76" s="2">
        <v>43923.083333333343</v>
      </c>
      <c r="B76">
        <v>0.13406415508217739</v>
      </c>
      <c r="C76">
        <v>0</v>
      </c>
      <c r="D76">
        <v>-0.62</v>
      </c>
      <c r="E76">
        <v>2.8804781593744562E-2</v>
      </c>
      <c r="F76">
        <v>2.1919934240197279</v>
      </c>
      <c r="G76">
        <f>0.5+F76/($H$1*2)</f>
        <v>0.70884146341463417</v>
      </c>
    </row>
    <row r="77" spans="1:7" x14ac:dyDescent="0.25">
      <c r="A77" s="2">
        <v>43923.125</v>
      </c>
      <c r="B77">
        <v>0.29202421957945418</v>
      </c>
      <c r="C77">
        <v>0</v>
      </c>
      <c r="D77">
        <v>-0.187</v>
      </c>
      <c r="E77">
        <v>5.2808766255198362E-2</v>
      </c>
      <c r="F77">
        <v>2.351992944021168</v>
      </c>
      <c r="G77">
        <f>0.5+F77/($H$1*2)</f>
        <v>0.72408536585365857</v>
      </c>
    </row>
    <row r="78" spans="1:7" x14ac:dyDescent="0.25">
      <c r="A78" s="2">
        <v>43923.166666666657</v>
      </c>
      <c r="B78">
        <v>5.0776537313393488E-2</v>
      </c>
      <c r="C78">
        <v>0</v>
      </c>
      <c r="D78">
        <v>6.5000000000000002E-2</v>
      </c>
      <c r="E78">
        <v>0.12722111870570516</v>
      </c>
      <c r="F78">
        <v>2.7679916960249118</v>
      </c>
      <c r="G78">
        <f>0.5+F78/($H$1*2)</f>
        <v>0.76371951219512191</v>
      </c>
    </row>
    <row r="79" spans="1:7" x14ac:dyDescent="0.25">
      <c r="A79" s="2">
        <v>43923.208333333343</v>
      </c>
      <c r="B79">
        <v>0.28619704614621938</v>
      </c>
      <c r="C79">
        <v>0</v>
      </c>
      <c r="D79">
        <v>-0.224</v>
      </c>
      <c r="E79">
        <v>0.40086654384627846</v>
      </c>
      <c r="F79">
        <v>3.6959889120332639</v>
      </c>
      <c r="G79">
        <f>0.5+F79/($H$1*2)</f>
        <v>0.85213414634146334</v>
      </c>
    </row>
    <row r="80" spans="1:7" x14ac:dyDescent="0.25">
      <c r="A80" s="2">
        <v>43923.25</v>
      </c>
      <c r="B80">
        <v>0.46287809543422243</v>
      </c>
      <c r="C80">
        <v>0</v>
      </c>
      <c r="D80">
        <v>-0.53600000000000003</v>
      </c>
      <c r="E80">
        <v>0.62650399966394421</v>
      </c>
      <c r="F80">
        <v>4.6079861760414715</v>
      </c>
      <c r="G80">
        <f>0.5+F80/($H$1*2)</f>
        <v>0.93902439024390238</v>
      </c>
    </row>
    <row r="81" spans="1:7" x14ac:dyDescent="0.25">
      <c r="A81" s="2">
        <v>43923.291666666657</v>
      </c>
      <c r="B81">
        <v>0.63228173120026665</v>
      </c>
      <c r="C81">
        <v>0</v>
      </c>
      <c r="D81">
        <v>-0.70399999999999996</v>
      </c>
      <c r="E81">
        <v>0.54008965488271055</v>
      </c>
      <c r="F81">
        <v>4.3519869440391679</v>
      </c>
      <c r="G81">
        <f>0.5+F81/($H$1*2)</f>
        <v>0.91463414634146334</v>
      </c>
    </row>
    <row r="82" spans="1:7" x14ac:dyDescent="0.25">
      <c r="A82" s="2">
        <v>43923.333333333343</v>
      </c>
      <c r="B82">
        <v>0.65625092368032578</v>
      </c>
      <c r="C82">
        <v>7.9000000000000001E-2</v>
      </c>
      <c r="D82">
        <v>4.2000000000000003E-2</v>
      </c>
      <c r="E82">
        <v>0.40806773924471462</v>
      </c>
      <c r="F82">
        <v>4.2399872800381599</v>
      </c>
      <c r="G82">
        <f>0.5+F82/($H$1*2)</f>
        <v>0.90396341463414631</v>
      </c>
    </row>
    <row r="83" spans="1:7" x14ac:dyDescent="0.25">
      <c r="A83" s="2">
        <v>43923.375</v>
      </c>
      <c r="B83">
        <v>0.59967770765340589</v>
      </c>
      <c r="C83">
        <v>0.26400000000000001</v>
      </c>
      <c r="D83">
        <v>2.137</v>
      </c>
      <c r="E83">
        <v>0.39126494998169697</v>
      </c>
      <c r="F83">
        <v>4.0159879520361441</v>
      </c>
      <c r="G83">
        <f>0.5+F83/($H$1*2)</f>
        <v>0.88262195121951215</v>
      </c>
    </row>
    <row r="84" spans="1:7" x14ac:dyDescent="0.25">
      <c r="A84" s="2">
        <v>43923.416666666657</v>
      </c>
      <c r="B84">
        <v>0.61928138250652343</v>
      </c>
      <c r="C84">
        <v>0.56999999999999995</v>
      </c>
      <c r="D84">
        <v>5.306</v>
      </c>
      <c r="E84">
        <v>0.35525897298951625</v>
      </c>
      <c r="F84">
        <v>3.8239885280344161</v>
      </c>
      <c r="G84">
        <f>0.5+F84/($H$1*2)</f>
        <v>0.86432926829268286</v>
      </c>
    </row>
    <row r="85" spans="1:7" x14ac:dyDescent="0.25">
      <c r="A85" s="2">
        <v>43923.458333333343</v>
      </c>
      <c r="B85">
        <v>0.77704911511405339</v>
      </c>
      <c r="C85">
        <v>0.70799999999999996</v>
      </c>
      <c r="D85">
        <v>6.9729999999999999</v>
      </c>
      <c r="E85">
        <v>0.36005976992180705</v>
      </c>
      <c r="F85">
        <v>3.6479890560328321</v>
      </c>
      <c r="G85">
        <f>0.5+F85/($H$1*2)</f>
        <v>0.84756097560975607</v>
      </c>
    </row>
    <row r="86" spans="1:7" x14ac:dyDescent="0.25">
      <c r="A86" s="2">
        <v>43923.5</v>
      </c>
      <c r="B86">
        <v>0.70838366283836529</v>
      </c>
      <c r="C86">
        <v>0.79700000000000004</v>
      </c>
      <c r="D86">
        <v>8.0980000000000008</v>
      </c>
      <c r="E86">
        <v>0.34805777759108014</v>
      </c>
      <c r="F86">
        <v>3.5839892480322559</v>
      </c>
      <c r="G86">
        <f>0.5+F86/($H$1*2)</f>
        <v>0.84146341463414631</v>
      </c>
    </row>
    <row r="87" spans="1:7" x14ac:dyDescent="0.25">
      <c r="A87" s="2">
        <v>43923.541666666657</v>
      </c>
      <c r="B87">
        <v>0.78018391900858552</v>
      </c>
      <c r="C87">
        <v>0.83799999999999997</v>
      </c>
      <c r="D87">
        <v>8.9779999999999998</v>
      </c>
      <c r="E87">
        <v>0.28084662053900949</v>
      </c>
      <c r="F87">
        <v>3.663989008032976</v>
      </c>
      <c r="G87">
        <f>0.5+F87/($H$1*2)</f>
        <v>0.84908536585365857</v>
      </c>
    </row>
    <row r="88" spans="1:7" x14ac:dyDescent="0.25">
      <c r="A88" s="2">
        <v>43923.583333333343</v>
      </c>
      <c r="B88">
        <v>0.56402007129053544</v>
      </c>
      <c r="C88">
        <v>0.80600000000000005</v>
      </c>
      <c r="D88">
        <v>9.5920000000000005</v>
      </c>
      <c r="E88">
        <v>0.26884462820828259</v>
      </c>
      <c r="F88">
        <v>3.7759886720339839</v>
      </c>
      <c r="G88">
        <f>0.5+F88/($H$1*2)</f>
        <v>0.8597560975609756</v>
      </c>
    </row>
    <row r="89" spans="1:7" x14ac:dyDescent="0.25">
      <c r="A89" s="2">
        <v>43923.625</v>
      </c>
      <c r="B89">
        <v>0.56753730213693221</v>
      </c>
      <c r="C89">
        <v>0.66200000000000003</v>
      </c>
      <c r="D89">
        <v>9.7989999999999995</v>
      </c>
      <c r="E89">
        <v>0.24003984661453803</v>
      </c>
      <c r="F89">
        <v>3.9359881920354236</v>
      </c>
      <c r="G89">
        <f>0.5+F89/($H$1*2)</f>
        <v>0.875</v>
      </c>
    </row>
    <row r="90" spans="1:7" x14ac:dyDescent="0.25">
      <c r="A90" s="2">
        <v>43923.666666666657</v>
      </c>
      <c r="B90">
        <v>0.41357118141704019</v>
      </c>
      <c r="C90">
        <v>0.44600000000000001</v>
      </c>
      <c r="D90">
        <v>9.6280000000000001</v>
      </c>
      <c r="E90">
        <v>0.28084662053900949</v>
      </c>
      <c r="F90">
        <v>4.1119876640370077</v>
      </c>
      <c r="G90">
        <f>0.5+F90/($H$1*2)</f>
        <v>0.89176829268292679</v>
      </c>
    </row>
    <row r="91" spans="1:7" x14ac:dyDescent="0.25">
      <c r="A91" s="2">
        <v>43923.708333333343</v>
      </c>
      <c r="B91">
        <v>0.53089076586289219</v>
      </c>
      <c r="C91">
        <v>0.26300000000000001</v>
      </c>
      <c r="D91">
        <v>9.1910000000000007</v>
      </c>
      <c r="E91">
        <v>0.33125498832806249</v>
      </c>
      <c r="F91">
        <v>4.2399872800381599</v>
      </c>
      <c r="G91">
        <f>0.5+F91/($H$1*2)</f>
        <v>0.90396341463414631</v>
      </c>
    </row>
    <row r="92" spans="1:7" x14ac:dyDescent="0.25">
      <c r="A92" s="2">
        <v>43923.75</v>
      </c>
      <c r="B92">
        <v>0.59719233093443369</v>
      </c>
      <c r="C92">
        <v>0.128</v>
      </c>
      <c r="D92">
        <v>8.4670000000000005</v>
      </c>
      <c r="E92">
        <v>0.3216533944634809</v>
      </c>
      <c r="F92">
        <v>4.31998704003888</v>
      </c>
      <c r="G92">
        <f>0.5+F92/($H$1*2)</f>
        <v>0.91158536585365857</v>
      </c>
    </row>
    <row r="93" spans="1:7" x14ac:dyDescent="0.25">
      <c r="A93" s="2">
        <v>43923.791666666657</v>
      </c>
      <c r="B93">
        <v>0.7837480774232084</v>
      </c>
      <c r="C93">
        <v>1.6E-2</v>
      </c>
      <c r="D93">
        <v>6.806</v>
      </c>
      <c r="E93">
        <v>0.33845618372649861</v>
      </c>
      <c r="F93">
        <v>4.3039870880387356</v>
      </c>
      <c r="G93">
        <f>0.5+F93/($H$1*2)</f>
        <v>0.91006097560975607</v>
      </c>
    </row>
    <row r="94" spans="1:7" x14ac:dyDescent="0.25">
      <c r="A94" s="2">
        <v>43923.833333333343</v>
      </c>
      <c r="B94">
        <v>0.67508605234693997</v>
      </c>
      <c r="C94">
        <v>0</v>
      </c>
      <c r="D94">
        <v>5.1660000000000004</v>
      </c>
      <c r="E94">
        <v>0.35045817605722546</v>
      </c>
      <c r="F94">
        <v>4.0799877600367198</v>
      </c>
      <c r="G94">
        <f>0.5+F94/($H$1*2)</f>
        <v>0.88871951219512191</v>
      </c>
    </row>
    <row r="95" spans="1:7" x14ac:dyDescent="0.25">
      <c r="A95" s="2">
        <v>43923.875</v>
      </c>
      <c r="B95">
        <v>0.69493888151728855</v>
      </c>
      <c r="C95">
        <v>0</v>
      </c>
      <c r="D95">
        <v>4.6369999999999996</v>
      </c>
      <c r="E95">
        <v>0.30004980826817246</v>
      </c>
      <c r="F95">
        <v>3.6319891040326877</v>
      </c>
      <c r="G95">
        <f>0.5+F95/($H$1*2)</f>
        <v>0.84603658536585358</v>
      </c>
    </row>
    <row r="96" spans="1:7" x14ac:dyDescent="0.25">
      <c r="A96" s="2">
        <v>43923.916666666657</v>
      </c>
      <c r="B96">
        <v>0.49277505596859628</v>
      </c>
      <c r="C96">
        <v>0</v>
      </c>
      <c r="D96">
        <v>4.383</v>
      </c>
      <c r="E96">
        <v>0.17522908802861273</v>
      </c>
      <c r="F96">
        <v>2.63999208002376</v>
      </c>
      <c r="G96">
        <f>0.5+F96/($H$1*2)</f>
        <v>0.75152439024390238</v>
      </c>
    </row>
    <row r="97" spans="1:7" x14ac:dyDescent="0.25">
      <c r="A97" s="2">
        <v>43923.958333333343</v>
      </c>
      <c r="B97">
        <v>0.47813037454405077</v>
      </c>
      <c r="C97">
        <v>0</v>
      </c>
      <c r="D97">
        <v>4.2050000000000001</v>
      </c>
      <c r="E97">
        <v>7.2011953984361401E-2</v>
      </c>
      <c r="F97">
        <v>2.1439935680192961</v>
      </c>
      <c r="G97">
        <f>0.5+F97/($H$1*2)</f>
        <v>0.7042682926829269</v>
      </c>
    </row>
    <row r="98" spans="1:7" x14ac:dyDescent="0.25">
      <c r="A98" s="2">
        <v>43924</v>
      </c>
      <c r="B98">
        <v>0.36589206174786443</v>
      </c>
      <c r="C98">
        <v>0</v>
      </c>
      <c r="D98">
        <v>4.202</v>
      </c>
      <c r="E98">
        <v>2.8804781593744562E-2</v>
      </c>
      <c r="F98">
        <v>1.7119948640154079</v>
      </c>
      <c r="G98">
        <f>0.5+F98/($H$1*2)</f>
        <v>0.66310975609756095</v>
      </c>
    </row>
    <row r="99" spans="1:7" x14ac:dyDescent="0.25">
      <c r="A99" s="2">
        <v>43924.041666666657</v>
      </c>
      <c r="B99">
        <v>0.36306701570831412</v>
      </c>
      <c r="C99">
        <v>0</v>
      </c>
      <c r="D99">
        <v>4.3550000000000004</v>
      </c>
      <c r="E99">
        <v>3.6005976992180701E-2</v>
      </c>
      <c r="F99">
        <v>1.791994624016128</v>
      </c>
      <c r="G99">
        <f>0.5+F99/($H$1*2)</f>
        <v>0.6707317073170731</v>
      </c>
    </row>
    <row r="100" spans="1:7" x14ac:dyDescent="0.25">
      <c r="A100" s="2">
        <v>43924.083333333343</v>
      </c>
      <c r="B100">
        <v>0.21367620048877281</v>
      </c>
      <c r="C100">
        <v>0</v>
      </c>
      <c r="D100">
        <v>4.4930000000000003</v>
      </c>
      <c r="E100">
        <v>2.8804781593744562E-2</v>
      </c>
      <c r="F100">
        <v>1.871994384016848</v>
      </c>
      <c r="G100">
        <f>0.5+F100/($H$1*2)</f>
        <v>0.67835365853658536</v>
      </c>
    </row>
    <row r="101" spans="1:7" x14ac:dyDescent="0.25">
      <c r="A101" s="2">
        <v>43924.125</v>
      </c>
      <c r="B101">
        <v>0.27642935263044882</v>
      </c>
      <c r="C101">
        <v>0</v>
      </c>
      <c r="D101">
        <v>4.6349999999999998</v>
      </c>
      <c r="E101">
        <v>5.2808766255198362E-2</v>
      </c>
      <c r="F101">
        <v>2.0639938080185756</v>
      </c>
      <c r="G101">
        <f>0.5+F101/($H$1*2)</f>
        <v>0.69664634146341453</v>
      </c>
    </row>
    <row r="102" spans="1:7" x14ac:dyDescent="0.25">
      <c r="A102" s="2">
        <v>43924.166666666657</v>
      </c>
      <c r="B102">
        <v>0.36214532893091961</v>
      </c>
      <c r="C102">
        <v>0</v>
      </c>
      <c r="D102">
        <v>4.7119999999999997</v>
      </c>
      <c r="E102">
        <v>0.12722111870570516</v>
      </c>
      <c r="F102">
        <v>2.527992416022752</v>
      </c>
      <c r="G102">
        <f>0.5+F102/($H$1*2)</f>
        <v>0.74085365853658536</v>
      </c>
    </row>
    <row r="103" spans="1:7" x14ac:dyDescent="0.25">
      <c r="A103" s="2">
        <v>43924.208333333343</v>
      </c>
      <c r="B103">
        <v>0.14340916359731351</v>
      </c>
      <c r="C103">
        <v>0</v>
      </c>
      <c r="D103">
        <v>4.7699999999999996</v>
      </c>
      <c r="E103">
        <v>0.40086654384627846</v>
      </c>
      <c r="F103">
        <v>3.4079897760306719</v>
      </c>
      <c r="G103">
        <f>0.5+F103/($H$1*2)</f>
        <v>0.82469512195121952</v>
      </c>
    </row>
    <row r="104" spans="1:7" x14ac:dyDescent="0.25">
      <c r="A104" s="2">
        <v>43924.25</v>
      </c>
      <c r="B104">
        <v>0.64635112830363273</v>
      </c>
      <c r="C104">
        <v>0</v>
      </c>
      <c r="D104">
        <v>4.75</v>
      </c>
      <c r="E104">
        <v>0.62650399966394421</v>
      </c>
      <c r="F104">
        <v>4.2239873280380165</v>
      </c>
      <c r="G104">
        <f>0.5+F104/($H$1*2)</f>
        <v>0.90243902439024393</v>
      </c>
    </row>
    <row r="105" spans="1:7" x14ac:dyDescent="0.25">
      <c r="A105" s="2">
        <v>43924.291666666657</v>
      </c>
      <c r="B105">
        <v>0.55100800948259765</v>
      </c>
      <c r="C105">
        <v>0</v>
      </c>
      <c r="D105">
        <v>4.7279999999999998</v>
      </c>
      <c r="E105">
        <v>0.54008965488271055</v>
      </c>
      <c r="F105">
        <v>3.9999880000360002</v>
      </c>
      <c r="G105">
        <f>0.5+F105/($H$1*2)</f>
        <v>0.88109756097560976</v>
      </c>
    </row>
    <row r="106" spans="1:7" x14ac:dyDescent="0.25">
      <c r="A106" s="2">
        <v>43924.333333333343</v>
      </c>
      <c r="B106">
        <v>0.64771410062303603</v>
      </c>
      <c r="C106">
        <v>1.2E-2</v>
      </c>
      <c r="D106">
        <v>4.9640000000000004</v>
      </c>
      <c r="E106">
        <v>0.40806773924471462</v>
      </c>
      <c r="F106">
        <v>3.8239885280344161</v>
      </c>
      <c r="G106">
        <f>0.5+F106/($H$1*2)</f>
        <v>0.86432926829268286</v>
      </c>
    </row>
    <row r="107" spans="1:7" x14ac:dyDescent="0.25">
      <c r="A107" s="2">
        <v>43924.375</v>
      </c>
      <c r="B107">
        <v>0.82933896334460022</v>
      </c>
      <c r="C107">
        <v>6.4000000000000001E-2</v>
      </c>
      <c r="D107">
        <v>5.4809999999999999</v>
      </c>
      <c r="E107">
        <v>0.39126494998169697</v>
      </c>
      <c r="F107">
        <v>3.5679892960321116</v>
      </c>
      <c r="G107">
        <f>0.5+F107/($H$1*2)</f>
        <v>0.83993902439024382</v>
      </c>
    </row>
    <row r="108" spans="1:7" x14ac:dyDescent="0.25">
      <c r="A108" s="2">
        <v>43924.416666666657</v>
      </c>
      <c r="B108">
        <v>0.59292680405510412</v>
      </c>
      <c r="C108">
        <v>0.27500000000000002</v>
      </c>
      <c r="D108">
        <v>6.7030000000000003</v>
      </c>
      <c r="E108">
        <v>0.35525897298951625</v>
      </c>
      <c r="F108">
        <v>3.3599899200302397</v>
      </c>
      <c r="G108">
        <f>0.5+F108/($H$1*2)</f>
        <v>0.82012195121951215</v>
      </c>
    </row>
    <row r="109" spans="1:7" x14ac:dyDescent="0.25">
      <c r="A109" s="2">
        <v>43924.458333333343</v>
      </c>
      <c r="B109">
        <v>0.72317932523535045</v>
      </c>
      <c r="C109">
        <v>0.63600000000000001</v>
      </c>
      <c r="D109">
        <v>8.6430000000000007</v>
      </c>
      <c r="E109">
        <v>0.36005976992180705</v>
      </c>
      <c r="F109">
        <v>3.1839904480286561</v>
      </c>
      <c r="G109">
        <f>0.5+F109/($H$1*2)</f>
        <v>0.80335365853658536</v>
      </c>
    </row>
    <row r="110" spans="1:7" x14ac:dyDescent="0.25">
      <c r="A110" s="2">
        <v>43924.5</v>
      </c>
      <c r="B110">
        <v>0.72266523224593693</v>
      </c>
      <c r="C110">
        <v>0.7</v>
      </c>
      <c r="D110">
        <v>9.7929999999999993</v>
      </c>
      <c r="E110">
        <v>0.34805777759108014</v>
      </c>
      <c r="F110">
        <v>3.1359905920282238</v>
      </c>
      <c r="G110">
        <f>0.5+F110/($H$1*2)</f>
        <v>0.79878048780487809</v>
      </c>
    </row>
    <row r="111" spans="1:7" x14ac:dyDescent="0.25">
      <c r="A111" s="2">
        <v>43924.541666666657</v>
      </c>
      <c r="B111">
        <v>0.862160022257494</v>
      </c>
      <c r="C111">
        <v>0.71699999999999997</v>
      </c>
      <c r="D111">
        <v>10.409000000000001</v>
      </c>
      <c r="E111">
        <v>0.28084662053900949</v>
      </c>
      <c r="F111">
        <v>3.2159903520289439</v>
      </c>
      <c r="G111">
        <f>0.5+F111/($H$1*2)</f>
        <v>0.80640243902439024</v>
      </c>
    </row>
    <row r="112" spans="1:7" x14ac:dyDescent="0.25">
      <c r="A112" s="2">
        <v>43924.583333333343</v>
      </c>
      <c r="B112">
        <v>0.73595323673820512</v>
      </c>
      <c r="C112">
        <v>0.71299999999999997</v>
      </c>
      <c r="D112">
        <v>10.786</v>
      </c>
      <c r="E112">
        <v>0.26884462820828259</v>
      </c>
      <c r="F112">
        <v>3.3279900160299518</v>
      </c>
      <c r="G112">
        <f>0.5+F112/($H$1*2)</f>
        <v>0.81707317073170738</v>
      </c>
    </row>
    <row r="113" spans="1:7" x14ac:dyDescent="0.25">
      <c r="A113" s="2">
        <v>43924.625</v>
      </c>
      <c r="B113">
        <v>0.67468014446449343</v>
      </c>
      <c r="C113">
        <v>0.63200000000000001</v>
      </c>
      <c r="D113">
        <v>10.821</v>
      </c>
      <c r="E113">
        <v>0.24003984661453803</v>
      </c>
      <c r="F113">
        <v>3.5039894880315359</v>
      </c>
      <c r="G113">
        <f>0.5+F113/($H$1*2)</f>
        <v>0.83384146341463405</v>
      </c>
    </row>
    <row r="114" spans="1:7" x14ac:dyDescent="0.25">
      <c r="A114" s="2">
        <v>43924.666666666657</v>
      </c>
      <c r="B114">
        <v>0.51448661691060871</v>
      </c>
      <c r="C114">
        <v>0.53</v>
      </c>
      <c r="D114">
        <v>10.606</v>
      </c>
      <c r="E114">
        <v>0.28084662053900949</v>
      </c>
      <c r="F114">
        <v>3.6479890560328321</v>
      </c>
      <c r="G114">
        <f>0.5+F114/($H$1*2)</f>
        <v>0.84756097560975607</v>
      </c>
    </row>
    <row r="115" spans="1:7" x14ac:dyDescent="0.25">
      <c r="A115" s="2">
        <v>43924.708333333343</v>
      </c>
      <c r="B115">
        <v>0.55149242180983371</v>
      </c>
      <c r="C115">
        <v>0.373</v>
      </c>
      <c r="D115">
        <v>9.9580000000000002</v>
      </c>
      <c r="E115">
        <v>0.33125498832806249</v>
      </c>
      <c r="F115">
        <v>3.8079885760342718</v>
      </c>
      <c r="G115">
        <f>0.5+F115/($H$1*2)</f>
        <v>0.86280487804878048</v>
      </c>
    </row>
    <row r="116" spans="1:7" x14ac:dyDescent="0.25">
      <c r="A116" s="2">
        <v>43924.75</v>
      </c>
      <c r="B116">
        <v>0.68174570868278406</v>
      </c>
      <c r="C116">
        <v>0.14599999999999999</v>
      </c>
      <c r="D116">
        <v>8.8249999999999993</v>
      </c>
      <c r="E116">
        <v>0.3216533944634809</v>
      </c>
      <c r="F116">
        <v>3.9199882400352801</v>
      </c>
      <c r="G116">
        <f>0.5+F116/($H$1*2)</f>
        <v>0.87347560975609762</v>
      </c>
    </row>
    <row r="117" spans="1:7" x14ac:dyDescent="0.25">
      <c r="A117" s="2">
        <v>43924.791666666657</v>
      </c>
      <c r="B117">
        <v>0.66407412316073722</v>
      </c>
      <c r="C117">
        <v>2.5000000000000001E-2</v>
      </c>
      <c r="D117">
        <v>6.8730000000000002</v>
      </c>
      <c r="E117">
        <v>0.33845618372649861</v>
      </c>
      <c r="F117">
        <v>3.9039882880351358</v>
      </c>
      <c r="G117">
        <f>0.5+F117/($H$1*2)</f>
        <v>0.87195121951219512</v>
      </c>
    </row>
    <row r="118" spans="1:7" x14ac:dyDescent="0.25">
      <c r="A118" s="2">
        <v>43924.833333333343</v>
      </c>
      <c r="B118">
        <v>0.88543147010224366</v>
      </c>
      <c r="C118">
        <v>0</v>
      </c>
      <c r="D118">
        <v>3.8889999999999998</v>
      </c>
      <c r="E118">
        <v>0.35045817605722546</v>
      </c>
      <c r="F118">
        <v>3.7119888640334082</v>
      </c>
      <c r="G118">
        <f>0.5+F118/($H$1*2)</f>
        <v>0.85365853658536595</v>
      </c>
    </row>
    <row r="119" spans="1:7" x14ac:dyDescent="0.25">
      <c r="A119" s="2">
        <v>43924.875</v>
      </c>
      <c r="B119">
        <v>0.64768301139599871</v>
      </c>
      <c r="C119">
        <v>0</v>
      </c>
      <c r="D119">
        <v>2.7429999999999999</v>
      </c>
      <c r="E119">
        <v>0.30004980826817246</v>
      </c>
      <c r="F119">
        <v>3.2639902080293757</v>
      </c>
      <c r="G119">
        <f>0.5+F119/($H$1*2)</f>
        <v>0.8109756097560975</v>
      </c>
    </row>
    <row r="120" spans="1:7" x14ac:dyDescent="0.25">
      <c r="A120" s="2">
        <v>43924.916666666657</v>
      </c>
      <c r="B120">
        <v>0.36009317060407109</v>
      </c>
      <c r="C120">
        <v>0</v>
      </c>
      <c r="D120">
        <v>2.2440000000000002</v>
      </c>
      <c r="E120">
        <v>0.17522908802861273</v>
      </c>
      <c r="F120">
        <v>2.3199930400208801</v>
      </c>
      <c r="G120">
        <f>0.5+F120/($H$1*2)</f>
        <v>0.72103658536585369</v>
      </c>
    </row>
    <row r="121" spans="1:7" x14ac:dyDescent="0.25">
      <c r="A121" s="2">
        <v>43924.958333333343</v>
      </c>
      <c r="B121">
        <v>0.57739935360259986</v>
      </c>
      <c r="C121">
        <v>0</v>
      </c>
      <c r="D121">
        <v>2.2000000000000002</v>
      </c>
      <c r="E121">
        <v>7.2011953984361401E-2</v>
      </c>
      <c r="F121">
        <v>1.823994528016416</v>
      </c>
      <c r="G121">
        <f>0.5+F121/($H$1*2)</f>
        <v>0.67378048780487809</v>
      </c>
    </row>
    <row r="122" spans="1:7" x14ac:dyDescent="0.25">
      <c r="A122" s="2">
        <v>43925</v>
      </c>
      <c r="B122">
        <v>0.15876403724434571</v>
      </c>
      <c r="C122">
        <v>0</v>
      </c>
      <c r="D122">
        <v>2.1019999999999999</v>
      </c>
      <c r="E122">
        <v>2.8804781593744562E-2</v>
      </c>
      <c r="F122">
        <v>1.4879955360133919</v>
      </c>
      <c r="G122">
        <f>0.5+F122/($H$1*2)</f>
        <v>0.64176829268292679</v>
      </c>
    </row>
    <row r="123" spans="1:7" x14ac:dyDescent="0.25">
      <c r="A123" s="2">
        <v>43925.041666666657</v>
      </c>
      <c r="B123">
        <v>0.32496014818785912</v>
      </c>
      <c r="C123">
        <v>0</v>
      </c>
      <c r="D123">
        <v>1.825</v>
      </c>
      <c r="E123">
        <v>3.6005976992180701E-2</v>
      </c>
      <c r="F123">
        <v>1.5679952960141119</v>
      </c>
      <c r="G123">
        <f>0.5+F123/($H$1*2)</f>
        <v>0.64939024390243905</v>
      </c>
    </row>
    <row r="124" spans="1:7" x14ac:dyDescent="0.25">
      <c r="A124" s="2">
        <v>43925.083333333343</v>
      </c>
      <c r="B124">
        <v>0</v>
      </c>
      <c r="C124">
        <v>0</v>
      </c>
      <c r="D124">
        <v>1.4510000000000001</v>
      </c>
      <c r="E124">
        <v>2.8804781593744562E-2</v>
      </c>
      <c r="F124">
        <v>1.6479950560148318</v>
      </c>
      <c r="G124">
        <f>0.5+F124/($H$1*2)</f>
        <v>0.65701219512195119</v>
      </c>
    </row>
    <row r="125" spans="1:7" x14ac:dyDescent="0.25">
      <c r="A125" s="2">
        <v>43925.125</v>
      </c>
      <c r="B125">
        <v>0.17553039583307681</v>
      </c>
      <c r="C125">
        <v>0</v>
      </c>
      <c r="D125">
        <v>0.95299999999999996</v>
      </c>
      <c r="E125">
        <v>5.2808766255198362E-2</v>
      </c>
      <c r="F125">
        <v>1.8559944320167041</v>
      </c>
      <c r="G125">
        <f>0.5+F125/($H$1*2)</f>
        <v>0.67682926829268297</v>
      </c>
    </row>
    <row r="126" spans="1:7" x14ac:dyDescent="0.25">
      <c r="A126" s="2">
        <v>43925.166666666657</v>
      </c>
      <c r="B126">
        <v>0.2191143913293587</v>
      </c>
      <c r="C126">
        <v>0</v>
      </c>
      <c r="D126">
        <v>0.46</v>
      </c>
      <c r="E126">
        <v>0.12722111870570516</v>
      </c>
      <c r="F126">
        <v>2.3359929920210236</v>
      </c>
      <c r="G126">
        <f>0.5+F126/($H$1*2)</f>
        <v>0.72256097560975607</v>
      </c>
    </row>
    <row r="127" spans="1:7" x14ac:dyDescent="0.25">
      <c r="A127" s="2">
        <v>43925.208333333343</v>
      </c>
      <c r="B127">
        <v>0.1591300113575104</v>
      </c>
      <c r="C127">
        <v>0</v>
      </c>
      <c r="D127">
        <v>-0.03</v>
      </c>
      <c r="E127">
        <v>0.40086654384627846</v>
      </c>
      <c r="F127">
        <v>3.1519905440283678</v>
      </c>
      <c r="G127">
        <f>0.5+F127/($H$1*2)</f>
        <v>0.80030487804878048</v>
      </c>
    </row>
    <row r="128" spans="1:7" x14ac:dyDescent="0.25">
      <c r="A128" s="2">
        <v>43925.25</v>
      </c>
      <c r="B128">
        <v>0.40167675676956011</v>
      </c>
      <c r="C128">
        <v>0</v>
      </c>
      <c r="D128">
        <v>-0.57199999999999995</v>
      </c>
      <c r="E128">
        <v>0.62650399966394421</v>
      </c>
      <c r="F128">
        <v>3.8719883840348479</v>
      </c>
      <c r="G128">
        <f>0.5+F128/($H$1*2)</f>
        <v>0.86890243902439024</v>
      </c>
    </row>
    <row r="129" spans="1:7" x14ac:dyDescent="0.25">
      <c r="A129" s="2">
        <v>43925.291666666657</v>
      </c>
      <c r="B129">
        <v>0.53210283699538263</v>
      </c>
      <c r="C129">
        <v>3.0000000000000001E-3</v>
      </c>
      <c r="D129">
        <v>-0.35899999999999999</v>
      </c>
      <c r="E129">
        <v>0.54008965488271055</v>
      </c>
      <c r="F129">
        <v>3.6799889600331199</v>
      </c>
      <c r="G129">
        <f>0.5+F129/($H$1*2)</f>
        <v>0.85060975609756095</v>
      </c>
    </row>
    <row r="130" spans="1:7" x14ac:dyDescent="0.25">
      <c r="A130" s="2">
        <v>43925.333333333343</v>
      </c>
      <c r="B130">
        <v>0.65389870251502413</v>
      </c>
      <c r="C130">
        <v>0.16400000000000001</v>
      </c>
      <c r="D130">
        <v>3.056</v>
      </c>
      <c r="E130">
        <v>0.40806773924471462</v>
      </c>
      <c r="F130">
        <v>3.4879895360313919</v>
      </c>
      <c r="G130">
        <f>0.5+F130/($H$1*2)</f>
        <v>0.83231707317073167</v>
      </c>
    </row>
    <row r="131" spans="1:7" x14ac:dyDescent="0.25">
      <c r="A131" s="2">
        <v>43925.375</v>
      </c>
      <c r="B131">
        <v>0.58662011511075529</v>
      </c>
      <c r="C131">
        <v>0.38800000000000001</v>
      </c>
      <c r="D131">
        <v>5.5270000000000001</v>
      </c>
      <c r="E131">
        <v>0.39126494998169697</v>
      </c>
      <c r="F131">
        <v>3.1999904000288</v>
      </c>
      <c r="G131">
        <f>0.5+F131/($H$1*2)</f>
        <v>0.80487804878048785</v>
      </c>
    </row>
    <row r="132" spans="1:7" x14ac:dyDescent="0.25">
      <c r="A132" s="2">
        <v>43925.416666666657</v>
      </c>
      <c r="B132">
        <v>0.73299882505030478</v>
      </c>
      <c r="C132">
        <v>0.59399999999999997</v>
      </c>
      <c r="D132">
        <v>8.5719999999999992</v>
      </c>
      <c r="E132">
        <v>0.35525897298951625</v>
      </c>
      <c r="F132">
        <v>2.9919910240269281</v>
      </c>
      <c r="G132">
        <f>0.5+F132/($H$1*2)</f>
        <v>0.78506097560975607</v>
      </c>
    </row>
    <row r="133" spans="1:7" x14ac:dyDescent="0.25">
      <c r="A133" s="2">
        <v>43925.458333333343</v>
      </c>
      <c r="B133">
        <v>0.72645173837341426</v>
      </c>
      <c r="C133">
        <v>0.745</v>
      </c>
      <c r="D133">
        <v>10.537000000000001</v>
      </c>
      <c r="E133">
        <v>0.36005976992180705</v>
      </c>
      <c r="F133">
        <v>2.8159915520253436</v>
      </c>
      <c r="G133">
        <f>0.5+F133/($H$1*2)</f>
        <v>0.76829268292682928</v>
      </c>
    </row>
    <row r="134" spans="1:7" x14ac:dyDescent="0.25">
      <c r="A134" s="2">
        <v>43925.5</v>
      </c>
      <c r="B134">
        <v>0.63853916581864789</v>
      </c>
      <c r="C134">
        <v>0.83</v>
      </c>
      <c r="D134">
        <v>11.864000000000001</v>
      </c>
      <c r="E134">
        <v>0.34805777759108014</v>
      </c>
      <c r="F134">
        <v>2.7839916480250557</v>
      </c>
      <c r="G134">
        <f>0.5+F134/($H$1*2)</f>
        <v>0.76524390243902429</v>
      </c>
    </row>
    <row r="135" spans="1:7" x14ac:dyDescent="0.25">
      <c r="A135" s="2">
        <v>43925.541666666657</v>
      </c>
      <c r="B135">
        <v>0.78085227270737023</v>
      </c>
      <c r="C135">
        <v>0.85899999999999999</v>
      </c>
      <c r="D135">
        <v>12.877000000000001</v>
      </c>
      <c r="E135">
        <v>0.28084662053900949</v>
      </c>
      <c r="F135">
        <v>2.8639914080257762</v>
      </c>
      <c r="G135">
        <f>0.5+F135/($H$1*2)</f>
        <v>0.77286585365853666</v>
      </c>
    </row>
    <row r="136" spans="1:7" x14ac:dyDescent="0.25">
      <c r="A136" s="2">
        <v>43925.583333333343</v>
      </c>
      <c r="B136">
        <v>0.71731169875683576</v>
      </c>
      <c r="C136">
        <v>0.83499999999999996</v>
      </c>
      <c r="D136">
        <v>13.651</v>
      </c>
      <c r="E136">
        <v>0.26884462820828259</v>
      </c>
      <c r="F136">
        <v>2.9759910720267837</v>
      </c>
      <c r="G136">
        <f>0.5+F136/($H$1*2)</f>
        <v>0.78353658536585358</v>
      </c>
    </row>
    <row r="137" spans="1:7" x14ac:dyDescent="0.25">
      <c r="A137" s="2">
        <v>43925.625</v>
      </c>
      <c r="B137">
        <v>0.80427960268884602</v>
      </c>
      <c r="C137">
        <v>0.76200000000000001</v>
      </c>
      <c r="D137">
        <v>14.127000000000001</v>
      </c>
      <c r="E137">
        <v>0.24003984661453803</v>
      </c>
      <c r="F137">
        <v>3.1519905440283678</v>
      </c>
      <c r="G137">
        <f>0.5+F137/($H$1*2)</f>
        <v>0.80030487804878048</v>
      </c>
    </row>
    <row r="138" spans="1:7" x14ac:dyDescent="0.25">
      <c r="A138" s="2">
        <v>43925.666666666657</v>
      </c>
      <c r="B138">
        <v>0.82947349770974543</v>
      </c>
      <c r="C138">
        <v>0.63700000000000001</v>
      </c>
      <c r="D138">
        <v>14.260999999999999</v>
      </c>
      <c r="E138">
        <v>0.28084662053900949</v>
      </c>
      <c r="F138">
        <v>3.2959901120296635</v>
      </c>
      <c r="G138">
        <f>0.5+F138/($H$1*2)</f>
        <v>0.81402439024390238</v>
      </c>
    </row>
    <row r="139" spans="1:7" x14ac:dyDescent="0.25">
      <c r="A139" s="2">
        <v>43925.708333333343</v>
      </c>
      <c r="B139">
        <v>0.77144901880248418</v>
      </c>
      <c r="C139">
        <v>0.45700000000000002</v>
      </c>
      <c r="D139">
        <v>14.007999999999999</v>
      </c>
      <c r="E139">
        <v>0.33125498832806249</v>
      </c>
      <c r="F139">
        <v>3.4559896320311037</v>
      </c>
      <c r="G139">
        <f>0.5+F139/($H$1*2)</f>
        <v>0.82926829268292679</v>
      </c>
    </row>
    <row r="140" spans="1:7" x14ac:dyDescent="0.25">
      <c r="A140" s="2">
        <v>43925.75</v>
      </c>
      <c r="B140">
        <v>0.86544318856606672</v>
      </c>
      <c r="C140">
        <v>0.23699999999999999</v>
      </c>
      <c r="D140">
        <v>13.179</v>
      </c>
      <c r="E140">
        <v>0.3216533944634809</v>
      </c>
      <c r="F140">
        <v>3.5839892480322559</v>
      </c>
      <c r="G140">
        <f>0.5+F140/($H$1*2)</f>
        <v>0.84146341463414631</v>
      </c>
    </row>
    <row r="141" spans="1:7" x14ac:dyDescent="0.25">
      <c r="A141" s="2">
        <v>43925.791666666657</v>
      </c>
      <c r="B141">
        <v>1.0068597626534721</v>
      </c>
      <c r="C141">
        <v>3.7999999999999999E-2</v>
      </c>
      <c r="D141">
        <v>10.221</v>
      </c>
      <c r="E141">
        <v>0.33845618372649861</v>
      </c>
      <c r="F141">
        <v>3.5839892480322559</v>
      </c>
      <c r="G141">
        <f>0.5+F141/($H$1*2)</f>
        <v>0.84146341463414631</v>
      </c>
    </row>
    <row r="142" spans="1:7" x14ac:dyDescent="0.25">
      <c r="A142" s="2">
        <v>43925.833333333343</v>
      </c>
      <c r="B142">
        <v>0.66270557495354565</v>
      </c>
      <c r="C142">
        <v>0</v>
      </c>
      <c r="D142">
        <v>7.2560000000000002</v>
      </c>
      <c r="E142">
        <v>0.35045817605722546</v>
      </c>
      <c r="F142">
        <v>3.391989824030528</v>
      </c>
      <c r="G142">
        <f>0.5+F142/($H$1*2)</f>
        <v>0.82317073170731714</v>
      </c>
    </row>
    <row r="143" spans="1:7" x14ac:dyDescent="0.25">
      <c r="A143" s="2">
        <v>43925.875</v>
      </c>
      <c r="B143">
        <v>0.77587793091072632</v>
      </c>
      <c r="C143">
        <v>0</v>
      </c>
      <c r="D143">
        <v>6.2130000000000001</v>
      </c>
      <c r="E143">
        <v>0.30004980826817246</v>
      </c>
      <c r="F143">
        <v>2.9759910720267837</v>
      </c>
      <c r="G143">
        <f>0.5+F143/($H$1*2)</f>
        <v>0.78353658536585358</v>
      </c>
    </row>
    <row r="144" spans="1:7" x14ac:dyDescent="0.25">
      <c r="A144" s="2">
        <v>43925.916666666657</v>
      </c>
      <c r="B144">
        <v>0.73801270503956373</v>
      </c>
      <c r="C144">
        <v>0</v>
      </c>
      <c r="D144">
        <v>5.5149999999999997</v>
      </c>
      <c r="E144">
        <v>0.17522908802861273</v>
      </c>
      <c r="F144">
        <v>2.0799937600187199</v>
      </c>
      <c r="G144">
        <f>0.5+F144/($H$1*2)</f>
        <v>0.69817073170731703</v>
      </c>
    </row>
    <row r="145" spans="1:7" x14ac:dyDescent="0.25">
      <c r="A145" s="2">
        <v>43925.958333333343</v>
      </c>
      <c r="B145">
        <v>0.87470653032905354</v>
      </c>
      <c r="C145">
        <v>0</v>
      </c>
      <c r="D145">
        <v>4.9180000000000001</v>
      </c>
      <c r="E145">
        <v>7.2011953984361401E-2</v>
      </c>
      <c r="F145">
        <v>1.5999952000144</v>
      </c>
      <c r="G145">
        <f>0.5+F145/($H$1*2)</f>
        <v>0.65243902439024393</v>
      </c>
    </row>
    <row r="146" spans="1:7" x14ac:dyDescent="0.25">
      <c r="A146" s="2">
        <v>43926</v>
      </c>
      <c r="B146">
        <v>0.418116960152566</v>
      </c>
      <c r="C146">
        <v>0</v>
      </c>
      <c r="D146">
        <v>4.3890000000000002</v>
      </c>
      <c r="E146">
        <v>2.8804781593744562E-2</v>
      </c>
      <c r="F146">
        <v>1.135996592010224</v>
      </c>
      <c r="G146">
        <f>0.5+F146/($H$1*2)</f>
        <v>0.60823170731707321</v>
      </c>
    </row>
    <row r="147" spans="1:7" x14ac:dyDescent="0.25">
      <c r="A147" s="2">
        <v>43926.041666666657</v>
      </c>
      <c r="B147">
        <v>0.24480562059580849</v>
      </c>
      <c r="C147">
        <v>0</v>
      </c>
      <c r="D147">
        <v>3.9220000000000002</v>
      </c>
      <c r="E147">
        <v>3.6005976992180701E-2</v>
      </c>
      <c r="F147">
        <v>1.1999964000107999</v>
      </c>
      <c r="G147">
        <f>0.5+F147/($H$1*2)</f>
        <v>0.61432926829268286</v>
      </c>
    </row>
    <row r="148" spans="1:7" x14ac:dyDescent="0.25">
      <c r="A148" s="2">
        <v>43926.083333333343</v>
      </c>
      <c r="B148">
        <v>0.2889453187499601</v>
      </c>
      <c r="C148">
        <v>0</v>
      </c>
      <c r="D148">
        <v>3.5550000000000002</v>
      </c>
      <c r="E148">
        <v>2.8804781593744562E-2</v>
      </c>
      <c r="F148">
        <v>1.263996208011376</v>
      </c>
      <c r="G148">
        <f>0.5+F148/($H$1*2)</f>
        <v>0.62042682926829262</v>
      </c>
    </row>
    <row r="149" spans="1:7" x14ac:dyDescent="0.25">
      <c r="A149" s="2">
        <v>43926.125</v>
      </c>
      <c r="B149">
        <v>0.29310663438360418</v>
      </c>
      <c r="C149">
        <v>0</v>
      </c>
      <c r="D149">
        <v>3.3069999999999999</v>
      </c>
      <c r="E149">
        <v>5.2808766255198362E-2</v>
      </c>
      <c r="F149">
        <v>1.4239957280128159</v>
      </c>
      <c r="G149">
        <f>0.5+F149/($H$1*2)</f>
        <v>0.63567073170731703</v>
      </c>
    </row>
    <row r="150" spans="1:7" x14ac:dyDescent="0.25">
      <c r="A150" s="2">
        <v>43926.166666666657</v>
      </c>
      <c r="B150">
        <v>0.186083141597497</v>
      </c>
      <c r="C150">
        <v>0</v>
      </c>
      <c r="D150">
        <v>3.1480000000000001</v>
      </c>
      <c r="E150">
        <v>0.12722111870570516</v>
      </c>
      <c r="F150">
        <v>1.8079945760162721</v>
      </c>
      <c r="G150">
        <f>0.5+F150/($H$1*2)</f>
        <v>0.6722560975609756</v>
      </c>
    </row>
    <row r="151" spans="1:7" x14ac:dyDescent="0.25">
      <c r="A151" s="2">
        <v>43926.208333333343</v>
      </c>
      <c r="B151">
        <v>0.1025471658912666</v>
      </c>
      <c r="C151">
        <v>0</v>
      </c>
      <c r="D151">
        <v>3.0339999999999998</v>
      </c>
      <c r="E151">
        <v>0.40086654384627846</v>
      </c>
      <c r="F151">
        <v>2.4159927520217441</v>
      </c>
      <c r="G151">
        <f>0.5+F151/($H$1*2)</f>
        <v>0.73018292682926833</v>
      </c>
    </row>
    <row r="152" spans="1:7" x14ac:dyDescent="0.25">
      <c r="A152" s="2">
        <v>43926.25</v>
      </c>
      <c r="B152">
        <v>8.6965612605570536E-2</v>
      </c>
      <c r="C152">
        <v>0</v>
      </c>
      <c r="D152">
        <v>2.9319999999999999</v>
      </c>
      <c r="E152">
        <v>0.62650399966394421</v>
      </c>
      <c r="F152">
        <v>2.9279912160263519</v>
      </c>
      <c r="G152">
        <f>0.5+F152/($H$1*2)</f>
        <v>0.77896341463414631</v>
      </c>
    </row>
    <row r="153" spans="1:7" x14ac:dyDescent="0.25">
      <c r="A153" s="2">
        <v>43926.291666666657</v>
      </c>
      <c r="B153">
        <v>0.21780132126813739</v>
      </c>
      <c r="C153">
        <v>3.0000000000000001E-3</v>
      </c>
      <c r="D153">
        <v>3.3010000000000002</v>
      </c>
      <c r="E153">
        <v>0.54008965488271055</v>
      </c>
      <c r="F153">
        <v>2.8159915520253436</v>
      </c>
      <c r="G153">
        <f>0.5+F153/($H$1*2)</f>
        <v>0.76829268292682928</v>
      </c>
    </row>
    <row r="154" spans="1:7" x14ac:dyDescent="0.25">
      <c r="A154" s="2">
        <v>43926.333333333343</v>
      </c>
      <c r="B154">
        <v>0.44763616153576358</v>
      </c>
      <c r="C154">
        <v>0.18099999999999999</v>
      </c>
      <c r="D154">
        <v>5.2240000000000002</v>
      </c>
      <c r="E154">
        <v>0.40806773924471462</v>
      </c>
      <c r="F154">
        <v>2.6719919840240478</v>
      </c>
      <c r="G154">
        <f>0.5+F154/($H$1*2)</f>
        <v>0.75457317073170738</v>
      </c>
    </row>
    <row r="155" spans="1:7" x14ac:dyDescent="0.25">
      <c r="A155" s="2">
        <v>43926.375</v>
      </c>
      <c r="B155">
        <v>0.81018105332178347</v>
      </c>
      <c r="C155">
        <v>0.41499999999999998</v>
      </c>
      <c r="D155">
        <v>8.0370000000000008</v>
      </c>
      <c r="E155">
        <v>0.39126494998169697</v>
      </c>
      <c r="F155">
        <v>2.4319927040218881</v>
      </c>
      <c r="G155">
        <f>0.5+F155/($H$1*2)</f>
        <v>0.73170731707317072</v>
      </c>
    </row>
    <row r="156" spans="1:7" x14ac:dyDescent="0.25">
      <c r="A156" s="2">
        <v>43926.416666666657</v>
      </c>
      <c r="B156">
        <v>0.79196653550262619</v>
      </c>
      <c r="C156">
        <v>0.60799999999999998</v>
      </c>
      <c r="D156">
        <v>11.465999999999999</v>
      </c>
      <c r="E156">
        <v>0.35525897298951625</v>
      </c>
      <c r="F156">
        <v>2.2719931840204479</v>
      </c>
      <c r="G156">
        <f>0.5+F156/($H$1*2)</f>
        <v>0.71646341463414631</v>
      </c>
    </row>
    <row r="157" spans="1:7" x14ac:dyDescent="0.25">
      <c r="A157" s="2">
        <v>43926.458333333343</v>
      </c>
      <c r="B157">
        <v>0.84427655746440022</v>
      </c>
      <c r="C157">
        <v>0.74399999999999999</v>
      </c>
      <c r="D157">
        <v>13.903</v>
      </c>
      <c r="E157">
        <v>0.36005976992180705</v>
      </c>
      <c r="F157">
        <v>2.1279936160191517</v>
      </c>
      <c r="G157">
        <f>0.5+F157/($H$1*2)</f>
        <v>0.70274390243902429</v>
      </c>
    </row>
    <row r="158" spans="1:7" x14ac:dyDescent="0.25">
      <c r="A158" s="2">
        <v>43926.5</v>
      </c>
      <c r="B158">
        <v>0.99403019994226716</v>
      </c>
      <c r="C158">
        <v>0.82399999999999995</v>
      </c>
      <c r="D158">
        <v>15.407</v>
      </c>
      <c r="E158">
        <v>0.34805777759108014</v>
      </c>
      <c r="F158">
        <v>2.0959937120188639</v>
      </c>
      <c r="G158">
        <f>0.5+F158/($H$1*2)</f>
        <v>0.69969512195121952</v>
      </c>
    </row>
    <row r="159" spans="1:7" x14ac:dyDescent="0.25">
      <c r="A159" s="2">
        <v>43926.541666666657</v>
      </c>
      <c r="B159">
        <v>1.0405706931615311</v>
      </c>
      <c r="C159">
        <v>0.85</v>
      </c>
      <c r="D159">
        <v>16.545000000000002</v>
      </c>
      <c r="E159">
        <v>0.28084662053900949</v>
      </c>
      <c r="F159">
        <v>2.1759934720195839</v>
      </c>
      <c r="G159">
        <f>0.5+F159/($H$1*2)</f>
        <v>0.70731707317073167</v>
      </c>
    </row>
    <row r="160" spans="1:7" x14ac:dyDescent="0.25">
      <c r="A160" s="2">
        <v>43926.583333333343</v>
      </c>
      <c r="B160">
        <v>0.64175438851429123</v>
      </c>
      <c r="C160">
        <v>0.82599999999999996</v>
      </c>
      <c r="D160">
        <v>17.381</v>
      </c>
      <c r="E160">
        <v>0.26884462820828259</v>
      </c>
      <c r="F160">
        <v>2.255993232020304</v>
      </c>
      <c r="G160">
        <f>0.5+F160/($H$1*2)</f>
        <v>0.71493902439024393</v>
      </c>
    </row>
    <row r="161" spans="1:7" x14ac:dyDescent="0.25">
      <c r="A161" s="2">
        <v>43926.625</v>
      </c>
      <c r="B161">
        <v>0.53490617980168997</v>
      </c>
      <c r="C161">
        <v>0.752</v>
      </c>
      <c r="D161">
        <v>17.858000000000001</v>
      </c>
      <c r="E161">
        <v>0.24003984661453803</v>
      </c>
      <c r="F161">
        <v>2.4159927520217441</v>
      </c>
      <c r="G161">
        <f>0.5+F161/($H$1*2)</f>
        <v>0.73018292682926833</v>
      </c>
    </row>
    <row r="162" spans="1:7" x14ac:dyDescent="0.25">
      <c r="A162" s="2">
        <v>43926.666666666657</v>
      </c>
      <c r="B162">
        <v>0.43953733426726049</v>
      </c>
      <c r="C162">
        <v>0.626</v>
      </c>
      <c r="D162">
        <v>17.914999999999999</v>
      </c>
      <c r="E162">
        <v>0.28084662053900949</v>
      </c>
      <c r="F162">
        <v>2.5119924640226077</v>
      </c>
      <c r="G162">
        <f>0.5+F162/($H$1*2)</f>
        <v>0.73932926829268286</v>
      </c>
    </row>
    <row r="163" spans="1:7" x14ac:dyDescent="0.25">
      <c r="A163" s="2">
        <v>43926.708333333343</v>
      </c>
      <c r="B163">
        <v>0.61526441092411011</v>
      </c>
      <c r="C163">
        <v>0.44900000000000001</v>
      </c>
      <c r="D163">
        <v>17.504000000000001</v>
      </c>
      <c r="E163">
        <v>0.33125498832806249</v>
      </c>
      <c r="F163">
        <v>2.63999208002376</v>
      </c>
      <c r="G163">
        <f>0.5+F163/($H$1*2)</f>
        <v>0.75152439024390238</v>
      </c>
    </row>
    <row r="164" spans="1:7" x14ac:dyDescent="0.25">
      <c r="A164" s="2">
        <v>43926.75</v>
      </c>
      <c r="B164">
        <v>0.74523308329350713</v>
      </c>
      <c r="C164">
        <v>0.23400000000000001</v>
      </c>
      <c r="D164">
        <v>16.244</v>
      </c>
      <c r="E164">
        <v>0.3216533944634809</v>
      </c>
      <c r="F164">
        <v>2.7519917440247679</v>
      </c>
      <c r="G164">
        <f>0.5+F164/($H$1*2)</f>
        <v>0.76219512195121952</v>
      </c>
    </row>
    <row r="165" spans="1:7" x14ac:dyDescent="0.25">
      <c r="A165" s="2">
        <v>43926.791666666657</v>
      </c>
      <c r="B165">
        <v>0.83957147318653136</v>
      </c>
      <c r="C165">
        <v>3.9E-2</v>
      </c>
      <c r="D165">
        <v>13.507999999999999</v>
      </c>
      <c r="E165">
        <v>0.33845618372649861</v>
      </c>
      <c r="F165">
        <v>2.7519917440247679</v>
      </c>
      <c r="G165">
        <f>0.5+F165/($H$1*2)</f>
        <v>0.76219512195121952</v>
      </c>
    </row>
    <row r="166" spans="1:7" x14ac:dyDescent="0.25">
      <c r="A166" s="2">
        <v>43926.833333333343</v>
      </c>
      <c r="B166">
        <v>0.6762922738082231</v>
      </c>
      <c r="C166">
        <v>0</v>
      </c>
      <c r="D166">
        <v>11.191000000000001</v>
      </c>
      <c r="E166">
        <v>0.35045817605722546</v>
      </c>
      <c r="F166">
        <v>2.6079921760234717</v>
      </c>
      <c r="G166">
        <f>0.5+F166/($H$1*2)</f>
        <v>0.7484756097560975</v>
      </c>
    </row>
    <row r="167" spans="1:7" x14ac:dyDescent="0.25">
      <c r="A167" s="2">
        <v>43926.875</v>
      </c>
      <c r="B167">
        <v>0.5092216055844645</v>
      </c>
      <c r="C167">
        <v>0</v>
      </c>
      <c r="D167">
        <v>10.786</v>
      </c>
      <c r="E167">
        <v>0.30004980826817246</v>
      </c>
      <c r="F167">
        <v>2.2879931360205918</v>
      </c>
      <c r="G167">
        <f>0.5+F167/($H$1*2)</f>
        <v>0.71798780487804881</v>
      </c>
    </row>
    <row r="168" spans="1:7" x14ac:dyDescent="0.25">
      <c r="A168" s="2">
        <v>43926.916666666657</v>
      </c>
      <c r="B168">
        <v>0.69045138617286983</v>
      </c>
      <c r="C168">
        <v>0</v>
      </c>
      <c r="D168">
        <v>10.257999999999999</v>
      </c>
      <c r="E168">
        <v>0.17522908802861273</v>
      </c>
      <c r="F168">
        <v>1.5999952000144</v>
      </c>
      <c r="G168">
        <f>0.5+F168/($H$1*2)</f>
        <v>0.65243902439024393</v>
      </c>
    </row>
    <row r="169" spans="1:7" x14ac:dyDescent="0.25">
      <c r="A169" s="2">
        <v>43926.958333333343</v>
      </c>
      <c r="B169">
        <v>0.41561513834860031</v>
      </c>
      <c r="C169">
        <v>0</v>
      </c>
      <c r="D169">
        <v>9.6430000000000007</v>
      </c>
      <c r="E169">
        <v>7.2011953984361401E-2</v>
      </c>
      <c r="F169">
        <v>1.215996352010944</v>
      </c>
      <c r="G169">
        <f>0.5+F169/($H$1*2)</f>
        <v>0.61585365853658536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Technische Hochschule Koeln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 Köppchen</dc:creator>
  <cp:lastModifiedBy>Robin Remmers (rremmers)</cp:lastModifiedBy>
  <dcterms:created xsi:type="dcterms:W3CDTF">2025-10-27T09:50:39Z</dcterms:created>
  <dcterms:modified xsi:type="dcterms:W3CDTF">2026-01-08T15:43:35Z</dcterms:modified>
</cp:coreProperties>
</file>